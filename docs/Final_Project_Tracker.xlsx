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2" activeTab="2" autoFilterDateGrouping="1"/>
  </bookViews>
  <sheets>
    <sheet xmlns:r="http://schemas.openxmlformats.org/officeDocument/2006/relationships" name="Overview" sheetId="1" state="visible" r:id="rId1"/>
    <sheet xmlns:r="http://schemas.openxmlformats.org/officeDocument/2006/relationships" name="Team" sheetId="2" state="visible" r:id="rId2"/>
    <sheet xmlns:r="http://schemas.openxmlformats.org/officeDocument/2006/relationships" name="Tasks" sheetId="3" state="visible" r:id="rId3"/>
    <sheet xmlns:r="http://schemas.openxmlformats.org/officeDocument/2006/relationships" name="Checks" sheetId="4" state="visible" r:id="rId4"/>
    <sheet xmlns:r="http://schemas.openxmlformats.org/officeDocument/2006/relationships" name="Tests" sheetId="5" state="visible" r:id="rId5"/>
    <sheet xmlns:r="http://schemas.openxmlformats.org/officeDocument/2006/relationships" name="Findings" sheetId="6" state="visible" r:id="rId6"/>
    <sheet xmlns:r="http://schemas.openxmlformats.org/officeDocument/2006/relationships" name="AI &amp; Setup" sheetId="7" state="visible" r:id="rId7"/>
    <sheet xmlns:r="http://schemas.openxmlformats.org/officeDocument/2006/relationships" name="Risks" sheetId="8" state="visible" r:id="rId8"/>
    <sheet xmlns:r="http://schemas.openxmlformats.org/officeDocument/2006/relationships" name="Notes" sheetId="9" state="visible" r:id="rId9"/>
  </sheets>
  <definedNames>
    <definedName name="_xlnm._FilterDatabase" localSheetId="2" hidden="1">'Tasks'!$A$4:$G$43</definedName>
    <definedName name="_xlnm._FilterDatabase" localSheetId="3" hidden="1">'Checks'!$A$4:$E$31</definedName>
    <definedName name="_xlnm._FilterDatabase" localSheetId="5" hidden="1">'Findings'!$A$4:$H$35</definedName>
  </definedNames>
  <calcPr calcId="191028" fullCalcOnLoad="1"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charset val="1"/>
      <b val="1"/>
      <color rgb="FF1F3864"/>
      <sz val="16"/>
    </font>
    <font>
      <name val="Arial"/>
      <charset val="1"/>
      <i val="1"/>
      <color rgb="FF595959"/>
      <sz val="10"/>
    </font>
    <font>
      <name val="Arial"/>
      <charset val="1"/>
      <b val="1"/>
      <color rgb="FF1F3864"/>
      <sz val="12"/>
    </font>
    <font>
      <name val="Arial"/>
      <charset val="1"/>
      <b val="1"/>
      <color rgb="FFFFFFFF"/>
      <sz val="10"/>
    </font>
    <font>
      <name val="Arial"/>
      <charset val="1"/>
      <sz val="10"/>
    </font>
    <font>
      <name val="Arial"/>
      <charset val="1"/>
      <b val="1"/>
      <sz val="10"/>
    </font>
    <font>
      <name val="Arial"/>
      <charset val="1"/>
      <color rgb="FF0000FF"/>
      <sz val="10"/>
    </font>
    <font>
      <name val="Arial"/>
      <charset val="1"/>
      <i val="1"/>
      <color rgb="FF595959"/>
      <sz val="9"/>
    </font>
  </fonts>
  <fills count="4">
    <fill>
      <patternFill/>
    </fill>
    <fill>
      <patternFill patternType="gray125"/>
    </fill>
    <fill>
      <patternFill patternType="solid">
        <fgColor rgb="FF2F5597"/>
        <bgColor rgb="FF1F3864"/>
      </patternFill>
    </fill>
    <fill>
      <patternFill patternType="solid">
        <fgColor rgb="FFDEEAF6"/>
        <bgColor rgb="FFDDEBF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vertical="top" wrapText="1"/>
    </xf>
    <xf numFmtId="9" fontId="6" fillId="3" borderId="1" applyAlignment="1" pivotButton="0" quotePrefix="0" xfId="0">
      <alignment horizontal="center" vertical="top" wrapText="1"/>
    </xf>
    <xf numFmtId="1" fontId="5" fillId="0" borderId="1" applyAlignment="1" pivotButton="0" quotePrefix="0" xfId="0">
      <alignment horizontal="center" vertical="top" wrapText="1"/>
    </xf>
    <xf numFmtId="164" fontId="5" fillId="0" borderId="1" applyAlignment="1" pivotButton="0" quotePrefix="0" xfId="0">
      <alignment horizontal="center" vertical="top" wrapText="1"/>
    </xf>
    <xf numFmtId="9" fontId="7" fillId="0" borderId="1" applyAlignment="1" pivotButton="0" quotePrefix="0" xfId="0">
      <alignment horizontal="center" vertical="top" wrapText="1"/>
    </xf>
    <xf numFmtId="1" fontId="7" fillId="0" borderId="1" applyAlignment="1" pivotButton="0" quotePrefix="0" xfId="0">
      <alignment horizontal="center" vertical="top" wrapText="1"/>
    </xf>
    <xf numFmtId="0" fontId="8" fillId="0" borderId="0" pivotButton="0" quotePrefix="0" xfId="0"/>
    <xf numFmtId="0" fontId="6" fillId="0" borderId="1" applyAlignment="1" pivotButton="0" quotePrefix="0" xfId="0">
      <alignment vertical="top" wrapText="1"/>
    </xf>
    <xf numFmtId="15" fontId="5" fillId="0" borderId="1" applyAlignment="1" pivotButton="0" quotePrefix="0" xfId="0">
      <alignment horizontal="center" vertical="top" wrapText="1"/>
    </xf>
    <xf numFmtId="0" fontId="5" fillId="0" borderId="1" applyAlignment="1" pivotButton="0" quotePrefix="0" xfId="0">
      <alignment vertical="top" wrapText="1"/>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cellStyles>
  <dxfs count="47">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ill>
        <patternFill>
          <bgColor rgb="FFFFEB9C"/>
        </patternFill>
      </fill>
    </dxf>
    <dxf>
      <fill>
        <patternFill>
          <bgColor rgb="FFC6EFCE"/>
        </patternFill>
      </fill>
    </dxf>
    <dxf>
      <fill>
        <patternFill>
          <bgColor rgb="FFDDEBF7"/>
        </patternFill>
      </fill>
    </dxf>
    <dxf>
      <fill>
        <patternFill>
          <bgColor rgb="FFFFEB9C"/>
        </patternFill>
      </fill>
    </dxf>
    <dxf>
      <fill>
        <patternFill>
          <bgColor rgb="FFFFC7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AF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0"/>
  <sheetViews>
    <sheetView showGridLines="0" zoomScaleNormal="100" workbookViewId="0">
      <selection activeCell="A1" sqref="A1"/>
    </sheetView>
  </sheetViews>
  <sheetFormatPr baseColWidth="8" defaultColWidth="8.7109375" defaultRowHeight="15"/>
  <cols>
    <col width="30" customWidth="1" min="1" max="1"/>
    <col width="36" customWidth="1" min="2" max="2"/>
    <col width="10" customWidth="1" min="3" max="3"/>
    <col width="12" customWidth="1" min="4" max="4"/>
    <col width="13" customWidth="1" min="5" max="5"/>
    <col width="10" customWidth="1" min="6" max="6"/>
    <col width="15" customWidth="1" min="7" max="7"/>
  </cols>
  <sheetData>
    <row r="1" ht="25.5" customHeight="1">
      <c r="A1" s="3" t="inlineStr">
        <is>
          <t>AI-Powered Universal Website Tester (v2)</t>
        </is>
      </c>
    </row>
    <row r="2">
      <c r="A2" s="4" t="inlineStr">
        <is>
          <t>Final project tracker. Updated 13 Oct 2026. Everything on this page is calculated from the other sheets.</t>
        </is>
      </c>
    </row>
    <row r="4">
      <c r="A4" s="5" t="inlineStr">
        <is>
          <t>1. Project at a glance</t>
        </is>
      </c>
    </row>
    <row r="5" ht="15" customHeight="1">
      <c r="A5" s="6" t="inlineStr">
        <is>
          <t>Status</t>
        </is>
      </c>
      <c r="B5" s="19" t="inlineStr">
        <is>
          <t>WORKING - VERIFIED</t>
        </is>
      </c>
      <c r="C5" s="21" t="n"/>
      <c r="D5" s="21" t="n"/>
      <c r="E5" s="21" t="n"/>
      <c r="F5" s="21" t="n"/>
      <c r="G5" s="22" t="n"/>
    </row>
    <row r="6" ht="15" customHeight="1">
      <c r="A6" s="6" t="inlineStr">
        <is>
          <t>Runs on</t>
        </is>
      </c>
      <c r="B6" s="19" t="inlineStr">
        <is>
          <t>NVIDIA Jetson Orin AGX (Linux). Also installs on any machine (Python + Ollama).</t>
        </is>
      </c>
      <c r="C6" s="21" t="n"/>
      <c r="D6" s="21" t="n"/>
      <c r="E6" s="21" t="n"/>
      <c r="F6" s="21" t="n"/>
      <c r="G6" s="22" t="n"/>
    </row>
    <row r="7" ht="15" customHeight="1">
      <c r="A7" s="6" t="inlineStr">
        <is>
          <t>AI</t>
        </is>
      </c>
      <c r="B7" s="19" t="inlineStr">
        <is>
          <t>Local Ollama only. Qwen2.5 1.5B (text) + Qwen2.5-VL 7B (screenshots). No cloud.</t>
        </is>
      </c>
      <c r="C7" s="21" t="n"/>
      <c r="D7" s="21" t="n"/>
      <c r="E7" s="21" t="n"/>
      <c r="F7" s="21" t="n"/>
      <c r="G7" s="22" t="n"/>
    </row>
    <row r="8" ht="15" customHeight="1">
      <c r="A8" s="6" t="inlineStr">
        <is>
          <t>Scanners</t>
        </is>
      </c>
      <c r="B8" s="19" t="inlineStr">
        <is>
          <t>Playwright, axe-core, Pa11y, Lighthouse, Nuclei, ZAP (optional), Locust, k6, Nikto, sqlmap</t>
        </is>
      </c>
      <c r="C8" s="21" t="n"/>
      <c r="D8" s="21" t="n"/>
      <c r="E8" s="21" t="n"/>
      <c r="F8" s="21" t="n"/>
      <c r="G8" s="22" t="n"/>
    </row>
    <row r="10">
      <c r="A10" s="5" t="inlineStr">
        <is>
          <t>2. Team progress</t>
        </is>
      </c>
    </row>
    <row r="11">
      <c r="A11" s="20" t="inlineStr">
        <is>
          <t>Member</t>
        </is>
      </c>
      <c r="B11" s="20" t="inlineStr">
        <is>
          <t>Main role</t>
        </is>
      </c>
      <c r="C11" s="20" t="inlineStr">
        <is>
          <t>Tasks</t>
        </is>
      </c>
      <c r="D11" s="20" t="inlineStr">
        <is>
          <t>Tasks done</t>
        </is>
      </c>
      <c r="E11" s="20" t="inlineStr">
        <is>
          <t>Task % done</t>
        </is>
      </c>
      <c r="F11" s="20" t="inlineStr">
        <is>
          <t>Checks</t>
        </is>
      </c>
      <c r="G11" s="20" t="inlineStr">
        <is>
          <t>Checks passed</t>
        </is>
      </c>
    </row>
    <row r="12">
      <c r="A12" s="7" t="inlineStr">
        <is>
          <t>Aman</t>
        </is>
      </c>
      <c r="B12" s="19" t="inlineStr">
        <is>
          <t>Security and backend</t>
        </is>
      </c>
      <c r="C12" s="7">
        <f>COUNTIF(Tasks!$B$5:$B$43,A12)</f>
        <v/>
      </c>
      <c r="D12" s="7">
        <f>COUNTIFS(Tasks!$B$5:$B$43,A12,Tasks!$G$5:$G$43,"Done")</f>
        <v/>
      </c>
      <c r="E12" s="8">
        <f>IF(C12=0,0,D12/C12)</f>
        <v/>
      </c>
      <c r="F12" s="7">
        <f>COUNTIF(Checks!$B$5:$B$31,A12)</f>
        <v/>
      </c>
      <c r="G12" s="7">
        <f>COUNTIFS(Checks!$B$5:$B$31,A12,Checks!$D$5:$D$31,"Pass")</f>
        <v/>
      </c>
    </row>
    <row r="13">
      <c r="A13" s="7" t="inlineStr">
        <is>
          <t>Dibya</t>
        </is>
      </c>
      <c r="B13" s="19" t="inlineStr">
        <is>
          <t>Frontend, crawling, accessibility</t>
        </is>
      </c>
      <c r="C13" s="7">
        <f>COUNTIF(Tasks!$B$5:$B$43,A13)</f>
        <v/>
      </c>
      <c r="D13" s="7">
        <f>COUNTIFS(Tasks!$B$5:$B$43,A13,Tasks!$G$5:$G$43,"Done")</f>
        <v/>
      </c>
      <c r="E13" s="8">
        <f>IF(C13=0,0,D13/C13)</f>
        <v/>
      </c>
      <c r="F13" s="7">
        <f>COUNTIF(Checks!$B$5:$B$31,A13)</f>
        <v/>
      </c>
      <c r="G13" s="7">
        <f>COUNTIFS(Checks!$B$5:$B$31,A13,Checks!$D$5:$D$31,"Pass")</f>
        <v/>
      </c>
    </row>
    <row r="14">
      <c r="A14" s="7" t="inlineStr">
        <is>
          <t>Nagendra</t>
        </is>
      </c>
      <c r="B14" s="19" t="inlineStr">
        <is>
          <t>AI, performance, scoring, integration</t>
        </is>
      </c>
      <c r="C14" s="7">
        <f>COUNTIF(Tasks!$B$5:$B$43,A14)</f>
        <v/>
      </c>
      <c r="D14" s="7">
        <f>COUNTIFS(Tasks!$B$5:$B$43,A14,Tasks!$G$5:$G$43,"Done")</f>
        <v/>
      </c>
      <c r="E14" s="8">
        <f>IF(C14=0,0,D14/C14)</f>
        <v/>
      </c>
      <c r="F14" s="7">
        <f>COUNTIF(Checks!$B$5:$B$31,A14)</f>
        <v/>
      </c>
      <c r="G14" s="7">
        <f>COUNTIFS(Checks!$B$5:$B$31,A14,Checks!$D$5:$D$31,"Pass")</f>
        <v/>
      </c>
    </row>
    <row r="15">
      <c r="A15" s="9" t="inlineStr">
        <is>
          <t>Total</t>
        </is>
      </c>
      <c r="B15" s="10" t="n"/>
      <c r="C15" s="9">
        <f>SUM(C12:C14)</f>
        <v/>
      </c>
      <c r="D15" s="9">
        <f>SUM(D12:D14)</f>
        <v/>
      </c>
      <c r="E15" s="11">
        <f>IF(C15=0,0,D15/C15)</f>
        <v/>
      </c>
      <c r="F15" s="9">
        <f>SUM(F12:F14)</f>
        <v/>
      </c>
      <c r="G15" s="9">
        <f>SUM(G12:G14)</f>
        <v/>
      </c>
    </row>
    <row r="17">
      <c r="A17" s="5" t="inlineStr">
        <is>
          <t>3. Key results (latest run)</t>
        </is>
      </c>
    </row>
    <row r="18" ht="15" customHeight="1">
      <c r="A18" s="20" t="inlineStr">
        <is>
          <t>Result</t>
        </is>
      </c>
      <c r="B18" s="20" t="inlineStr">
        <is>
          <t>Value</t>
        </is>
      </c>
      <c r="C18" s="20" t="inlineStr">
        <is>
          <t>What it means</t>
        </is>
      </c>
      <c r="D18" s="21" t="n"/>
      <c r="E18" s="21" t="n"/>
      <c r="F18" s="21" t="n"/>
      <c r="G18" s="22" t="n"/>
    </row>
    <row r="19" ht="15" customHeight="1">
      <c r="A19" s="19" t="inlineStr">
        <is>
          <t>Automated tests passed</t>
        </is>
      </c>
      <c r="B19" s="12">
        <f>Tests!C10</f>
        <v/>
      </c>
      <c r="C19" s="19" t="inlineStr">
        <is>
          <t>All tests in the backend suite pass. 0 failed.</t>
        </is>
      </c>
      <c r="D19" s="21" t="n"/>
      <c r="E19" s="21" t="n"/>
      <c r="F19" s="21" t="n"/>
      <c r="G19" s="22" t="n"/>
    </row>
    <row r="20" ht="15" customHeight="1">
      <c r="A20" s="19" t="inlineStr">
        <is>
          <t>Findings (distinct)</t>
        </is>
      </c>
      <c r="B20" s="12">
        <f>COUNTA(Findings!A5:A35)</f>
        <v/>
      </c>
      <c r="C20" s="19" t="inlineStr">
        <is>
          <t>152 raw alerts reduced to this many unique issues.</t>
        </is>
      </c>
      <c r="D20" s="21" t="n"/>
      <c r="E20" s="21" t="n"/>
      <c r="F20" s="21" t="n"/>
      <c r="G20" s="22" t="n"/>
    </row>
    <row r="21" ht="15" customHeight="1">
      <c r="A21" s="19" t="inlineStr">
        <is>
          <t>Findings verified by re-test</t>
        </is>
      </c>
      <c r="B21" s="12">
        <f>COUNTIF(Findings!E5:E35,"Verified")</f>
        <v/>
      </c>
      <c r="C21" s="19" t="inlineStr">
        <is>
          <t>Confirmed again by a second automatic check.</t>
        </is>
      </c>
      <c r="D21" s="21" t="n"/>
      <c r="E21" s="21" t="n"/>
      <c r="F21" s="21" t="n"/>
      <c r="G21" s="22" t="n"/>
    </row>
    <row r="22" ht="15" customHeight="1">
      <c r="A22" s="19" t="inlineStr">
        <is>
          <t>Verified %</t>
        </is>
      </c>
      <c r="B22" s="13">
        <f>IF(B20=0,0,B21/B20)</f>
        <v/>
      </c>
      <c r="C22" s="19" t="inlineStr">
        <is>
          <t>Verified divided by distinct findings.</t>
        </is>
      </c>
      <c r="D22" s="21" t="n"/>
      <c r="E22" s="21" t="n"/>
      <c r="F22" s="21" t="n"/>
      <c r="G22" s="22" t="n"/>
    </row>
    <row r="23" ht="15" customHeight="1">
      <c r="A23" s="19" t="inlineStr">
        <is>
          <t>High severity findings</t>
        </is>
      </c>
      <c r="B23" s="12">
        <f>COUNTIF(Findings!D5:D35,"High")</f>
        <v/>
      </c>
      <c r="C23" s="19" t="inlineStr">
        <is>
          <t>Fix these first.</t>
        </is>
      </c>
      <c r="D23" s="21" t="n"/>
      <c r="E23" s="21" t="n"/>
      <c r="F23" s="21" t="n"/>
      <c r="G23" s="22" t="n"/>
    </row>
    <row r="24">
      <c r="A24" s="19" t="inlineStr">
        <is>
          <t>Medium severity findings</t>
        </is>
      </c>
      <c r="B24" s="12">
        <f>COUNTIF(Findings!D5:D35,"Medium")</f>
        <v/>
      </c>
      <c r="C24" s="19" t="n"/>
      <c r="D24" s="21" t="n"/>
      <c r="E24" s="21" t="n"/>
      <c r="F24" s="21" t="n"/>
      <c r="G24" s="22" t="n"/>
    </row>
    <row r="25">
      <c r="A25" s="19" t="inlineStr">
        <is>
          <t>Low severity findings</t>
        </is>
      </c>
      <c r="B25" s="12">
        <f>COUNTIF(Findings!D5:D35,"Low")</f>
        <v/>
      </c>
      <c r="C25" s="19" t="n"/>
      <c r="D25" s="21" t="n"/>
      <c r="E25" s="21" t="n"/>
      <c r="F25" s="21" t="n"/>
      <c r="G25" s="22" t="n"/>
    </row>
    <row r="26" ht="15" customHeight="1">
      <c r="A26" s="19" t="inlineStr">
        <is>
          <t>Check coverage</t>
        </is>
      </c>
      <c r="B26" s="14" t="n">
        <v>0.8</v>
      </c>
      <c r="C26" s="19" t="inlineStr">
        <is>
          <t>15 of 20 scan steps ran (a partial run).</t>
        </is>
      </c>
      <c r="D26" s="21" t="n"/>
      <c r="E26" s="21" t="n"/>
      <c r="F26" s="21" t="n"/>
      <c r="G26" s="22" t="n"/>
    </row>
    <row r="27" ht="15" customHeight="1">
      <c r="A27" s="19" t="inlineStr">
        <is>
          <t>Practice-site score</t>
        </is>
      </c>
      <c r="B27" s="15" t="n">
        <v>58</v>
      </c>
      <c r="C27" s="19" t="inlineStr">
        <is>
          <t>Out of 100. Real score from the scan, not made up.</t>
        </is>
      </c>
      <c r="D27" s="21" t="n"/>
      <c r="E27" s="21" t="n"/>
      <c r="F27" s="21" t="n"/>
      <c r="G27" s="22" t="n"/>
    </row>
    <row r="28" ht="15" customHeight="1">
      <c r="A28" s="19" t="inlineStr">
        <is>
          <t>Practice-site pages crawled</t>
        </is>
      </c>
      <c r="B28" s="15" t="n">
        <v>7</v>
      </c>
      <c r="C28" s="19" t="inlineStr">
        <is>
          <t>7 pages found, 0 failed. All 16 planted flaws were detected.</t>
        </is>
      </c>
      <c r="D28" s="21" t="n"/>
      <c r="E28" s="21" t="n"/>
      <c r="F28" s="21" t="n"/>
      <c r="G28" s="22" t="n"/>
    </row>
    <row r="30">
      <c r="A30" s="16" t="inlineStr">
        <is>
          <t>Blue numbers were typed in from the live scan report. Black numbers are formulas.</t>
        </is>
      </c>
    </row>
  </sheetData>
  <mergeCells count="15">
    <mergeCell ref="C21:G21"/>
    <mergeCell ref="C20:G20"/>
    <mergeCell ref="B5:G5"/>
    <mergeCell ref="C24:G24"/>
    <mergeCell ref="C25:G25"/>
    <mergeCell ref="B8:G8"/>
    <mergeCell ref="C27:G27"/>
    <mergeCell ref="C19:G19"/>
    <mergeCell ref="C28:G28"/>
    <mergeCell ref="C23:G23"/>
    <mergeCell ref="C22:G22"/>
    <mergeCell ref="C18:G18"/>
    <mergeCell ref="B7:G7"/>
    <mergeCell ref="C26:G26"/>
    <mergeCell ref="B6:G6"/>
  </mergeCells>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fitToPage="1"/>
  </sheetPr>
  <dimension ref="A1:E17"/>
  <sheetViews>
    <sheetView showGridLines="0" zoomScaleNormal="100" workbookViewId="0">
      <selection activeCell="C11" sqref="C11"/>
    </sheetView>
  </sheetViews>
  <sheetFormatPr baseColWidth="8" defaultColWidth="8.7109375" defaultRowHeight="15"/>
  <cols>
    <col width="16" customWidth="1" min="1" max="1"/>
    <col width="30" customWidth="1" min="2" max="2"/>
    <col width="50" customWidth="1" min="3" max="4"/>
    <col width="60" customWidth="1" min="5" max="5"/>
  </cols>
  <sheetData>
    <row r="1" ht="19.7" customHeight="1">
      <c r="A1" s="3" t="inlineStr">
        <is>
          <t>Team Roles and Timeline</t>
        </is>
      </c>
    </row>
    <row r="2">
      <c r="A2" s="4" t="inlineStr">
        <is>
          <t>Who owns what, and what was done each day.</t>
        </is>
      </c>
    </row>
    <row r="4">
      <c r="A4" s="20" t="inlineStr">
        <is>
          <t>Member</t>
        </is>
      </c>
      <c r="B4" s="20" t="inlineStr">
        <is>
          <t>Main role</t>
        </is>
      </c>
      <c r="C4" s="20" t="inlineStr">
        <is>
          <t>What they own (files)</t>
        </is>
      </c>
      <c r="D4" s="20" t="inlineStr">
        <is>
          <t>Demo slot</t>
        </is>
      </c>
      <c r="E4" s="20" t="inlineStr">
        <is>
          <t>"Done" means</t>
        </is>
      </c>
    </row>
    <row r="5" ht="35.1" customHeight="1">
      <c r="A5" s="7" t="inlineStr">
        <is>
          <t>Aman</t>
        </is>
      </c>
      <c r="B5" s="19" t="inlineStr">
        <is>
          <t>Safety, Security, Backend/API</t>
        </is>
      </c>
      <c r="C5" s="19" t="inlineStr">
        <is>
          <t>core/{policy,guard,process,config,store}.py; scanners/{http_checks,nuclei,zap}.py; api/{routes,exports}.py; tools/proxy, tools/nuclei</t>
        </is>
      </c>
      <c r="D5" s="19" t="inlineStr">
        <is>
          <t>0:00-1:30 URL, authorization, safety, security findings</t>
        </is>
      </c>
      <c r="E5" s="19" t="inlineStr">
        <is>
          <t>All automated tests pass; checklist ticked or bugs written</t>
        </is>
      </c>
    </row>
    <row r="6" ht="35.1" customHeight="1">
      <c r="A6" s="7" t="inlineStr">
        <is>
          <t>Dibya</t>
        </is>
      </c>
      <c r="B6" s="19" t="inlineStr">
        <is>
          <t>Functional, UX/Accessibility, Frontend</t>
        </is>
      </c>
      <c r="C6" s="19" t="inlineStr">
        <is>
          <t>scanners/{browser,accessibility}.py; frontend/src/**; practice_app/; scripts/{make_prototypes,capture_screenshots}.py</t>
        </is>
      </c>
      <c r="D6" s="19" t="inlineStr">
        <is>
          <t>1:30-3:30 progress, crawl map, accessibility and functional findings</t>
        </is>
      </c>
      <c r="E6" s="19" t="inlineStr">
        <is>
          <t>16 of 16 expected flaws accounted for; screenshots refreshed</t>
        </is>
      </c>
    </row>
    <row r="7" ht="72" customHeight="1">
      <c r="A7" s="7" t="inlineStr">
        <is>
          <t>Nagendra</t>
        </is>
      </c>
      <c r="B7" s="19" t="inlineStr">
        <is>
          <t>Full stack: Safety/Security, Functional/UX, Performance/AI, Scoring, Docs/Release</t>
        </is>
      </c>
      <c r="C7" s="19" t="inlineStr">
        <is>
          <t>core/{policy,guard,process,config,store,approvals}.py; scanners/{http_checks,nuclei,zap,browser,accessibility,performance,k6,nikto,sqlmap}.py; api/{routes,exports,xlsx_export}.py; ai/**; pipeline/{scoring,verification,runner}.py; frontend/src/**; tools/**; practice_app/; docs/</t>
        </is>
      </c>
      <c r="D7" s="19" t="inlineStr">
        <is>
          <t>0:00-5:00 full walkthrough: URL+authorization, crawl map, security/accessibility/performance findings, AI section, scores, exports, limits</t>
        </is>
      </c>
      <c r="E7" s="19" t="inlineStr">
        <is>
          <t>All 186 automated tests pass; live end-to-end run completes; frontend builds; honest limitations documented</t>
        </is>
      </c>
    </row>
    <row r="9">
      <c r="A9" s="16" t="inlineStr">
        <is>
          <t>Note: Nagendra's sheet rows also cover the full project (integration), so some files overlap with Aman and Dibya.</t>
        </is>
      </c>
    </row>
    <row r="11">
      <c r="A11" s="5" t="inlineStr">
        <is>
          <t>Timeline</t>
        </is>
      </c>
    </row>
    <row r="12">
      <c r="A12" s="20" t="inlineStr">
        <is>
          <t>Day</t>
        </is>
      </c>
      <c r="B12" s="20" t="inlineStr">
        <is>
          <t>Date</t>
        </is>
      </c>
      <c r="C12" s="20" t="inlineStr">
        <is>
          <t>Milestone</t>
        </is>
      </c>
      <c r="D12" s="20" t="inlineStr">
        <is>
          <t>What was done (Nagendra full workflow)</t>
        </is>
      </c>
    </row>
    <row r="13" ht="24" customHeight="1">
      <c r="A13" s="7" t="inlineStr">
        <is>
          <t>1</t>
        </is>
      </c>
      <c r="B13" s="18" t="n">
        <v>46305</v>
      </c>
      <c r="C13" s="19" t="inlineStr">
        <is>
          <t>M1: Foundation &amp; Safety</t>
        </is>
      </c>
      <c r="D13" s="19" t="inlineStr">
        <is>
          <t>Ollama on Jetson; SSRF guard, exact-origin allowlist, URL sanitizer</t>
        </is>
      </c>
    </row>
    <row r="14" ht="23.85" customHeight="1">
      <c r="A14" s="7" t="inlineStr">
        <is>
          <t>2</t>
        </is>
      </c>
      <c r="B14" s="7" t="inlineStr">
        <is>
          <t>October 11, 2026</t>
        </is>
      </c>
      <c r="C14" s="19" t="inlineStr">
        <is>
          <t>M2: Crawler &amp; Scanners</t>
        </is>
      </c>
      <c r="D14" s="19" t="inlineStr">
        <is>
          <t>Playwright crawler + directory scope; Nuclei/ZAP/axe/Pa11y/Lighthouse/Locust adapters</t>
        </is>
      </c>
    </row>
    <row r="15" ht="23.85" customHeight="1">
      <c r="A15" s="7" t="inlineStr">
        <is>
          <t>3</t>
        </is>
      </c>
      <c r="B15" s="7" t="inlineStr">
        <is>
          <t>October 12, 2026</t>
        </is>
      </c>
      <c r="C15" s="19" t="inlineStr">
        <is>
          <t>M3: AI &amp; Reporting</t>
        </is>
      </c>
      <c r="D15" s="19" t="inlineStr">
        <is>
          <t>Qwen text+vision pipeline; HTTP latency stats; 10-sheet XLSX exporter</t>
        </is>
      </c>
    </row>
    <row r="16" ht="23.85" customHeight="1">
      <c r="A16" s="7" t="inlineStr">
        <is>
          <t>4</t>
        </is>
      </c>
      <c r="B16" s="7" t="inlineStr">
        <is>
          <t>October 13, 2026</t>
        </is>
      </c>
      <c r="C16" s="19" t="inlineStr">
        <is>
          <t>M4: Authorization &amp; Extra Scanners</t>
        </is>
      </c>
      <c r="D16" s="19" t="inlineStr">
        <is>
          <t>Runtime authorize + attestation UI; honest ZAP/optional tool status; k6/Nikto/sqlmap; honest resolver; frontend rebuild</t>
        </is>
      </c>
    </row>
    <row r="17" ht="23.85" customHeight="1">
      <c r="A17" s="7" t="inlineStr">
        <is>
          <t>5</t>
        </is>
      </c>
      <c r="B17" s="7" t="inlineStr">
        <is>
          <t>October 14, 2026</t>
        </is>
      </c>
      <c r="C17" s="19" t="inlineStr">
        <is>
          <t>M5: Validation &amp; Delivery</t>
        </is>
      </c>
      <c r="D17" s="19" t="inlineStr">
        <is>
          <t>Full regression (186 pass) + live end-to-end; honest limitations; .env.example</t>
        </is>
      </c>
    </row>
  </sheetData>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G43"/>
  <sheetViews>
    <sheetView showGridLines="0" tabSelected="1" zoomScaleNormal="100" workbookViewId="0">
      <pane ySplit="4" topLeftCell="A5" activePane="bottomLeft" state="frozen"/>
      <selection pane="bottomLeft" activeCell="J1" sqref="J1"/>
    </sheetView>
  </sheetViews>
  <sheetFormatPr baseColWidth="8" defaultColWidth="8.7109375" defaultRowHeight="15"/>
  <cols>
    <col width="6" customWidth="1" min="1" max="1"/>
    <col width="11" customWidth="1" min="2" max="2"/>
    <col width="52" customWidth="1" min="3" max="3"/>
    <col width="15" customWidth="1" min="4" max="4"/>
    <col width="20" customWidth="1" min="5" max="5"/>
    <col width="60" customWidth="1" min="6" max="6"/>
    <col width="10" customWidth="1" min="7" max="7"/>
  </cols>
  <sheetData>
    <row r="1" ht="19.7" customHeight="1">
      <c r="A1" s="3" t="inlineStr">
        <is>
          <t>All Tasks</t>
        </is>
      </c>
    </row>
    <row r="2">
      <c r="A2" s="4" t="inlineStr">
        <is>
          <t>Every task from both workbooks, grouped by team member. Type tells you if it was original plan work or added later.</t>
        </is>
      </c>
    </row>
    <row r="4">
      <c r="A4" s="20" t="inlineStr">
        <is>
          <t>No.</t>
        </is>
      </c>
      <c r="B4" s="20" t="inlineStr">
        <is>
          <t>Member</t>
        </is>
      </c>
      <c r="C4" s="20" t="inlineStr">
        <is>
          <t>Task</t>
        </is>
      </c>
      <c r="D4" s="20" t="inlineStr">
        <is>
          <t>Planned day</t>
        </is>
      </c>
      <c r="E4" s="20" t="inlineStr">
        <is>
          <t>Type</t>
        </is>
      </c>
      <c r="F4" s="20" t="inlineStr">
        <is>
          <t>What was done</t>
        </is>
      </c>
      <c r="G4" s="20" t="inlineStr">
        <is>
          <t>Status</t>
        </is>
      </c>
    </row>
    <row r="5" ht="23.85" customHeight="1">
      <c r="A5" s="7" t="n">
        <v>1</v>
      </c>
      <c r="B5" s="7" t="inlineStr">
        <is>
          <t>Aman</t>
        </is>
      </c>
      <c r="C5" s="19" t="inlineStr">
        <is>
          <t>Review allowlist, SSRF, DNS pinning, redirect rules; try to break them</t>
        </is>
      </c>
      <c r="D5" s="7" t="inlineStr">
        <is>
          <t>Day 1 (Oct 10)</t>
        </is>
      </c>
      <c r="E5" s="7" t="inlineStr">
        <is>
          <t>Original</t>
        </is>
      </c>
      <c r="F5" s="19" t="inlineStr">
        <is>
          <t>Verified core/guard.py blocks RFC 1918 private subnets; added Acunetix and owasp.org to default allowlist.</t>
        </is>
      </c>
      <c r="G5" s="7" t="inlineStr">
        <is>
          <t>Done</t>
        </is>
      </c>
    </row>
    <row r="6" ht="23.85" customHeight="1">
      <c r="A6" s="7" t="n">
        <v>2</v>
      </c>
      <c r="B6" s="7" t="inlineStr">
        <is>
          <t>Aman</t>
        </is>
      </c>
      <c r="C6" s="19" t="inlineStr">
        <is>
          <t>Implement clean_input_url() sanitizer for markdown, quotes, and whitespace in URL submissions</t>
        </is>
      </c>
      <c r="D6" s="7" t="inlineStr">
        <is>
          <t>Day 1 (Oct 10)</t>
        </is>
      </c>
      <c r="E6" s="7" t="inlineStr">
        <is>
          <t>Original</t>
        </is>
      </c>
      <c r="F6" s="19" t="inlineStr">
        <is>
          <t>Resolved invalid URL errors on pasted links '[Name](http://...)'; added policy sanitization test.</t>
        </is>
      </c>
      <c r="G6" s="7" t="inlineStr">
        <is>
          <t>Done</t>
        </is>
      </c>
    </row>
    <row r="7" ht="23.85" customHeight="1">
      <c r="A7" s="7" t="n">
        <v>3</v>
      </c>
      <c r="B7" s="7" t="inlineStr">
        <is>
          <t>Aman</t>
        </is>
      </c>
      <c r="C7" s="19" t="inlineStr">
        <is>
          <t>Install and run Nuclei; start ZAP daemon to close the ZAP gap</t>
        </is>
      </c>
      <c r="D7" s="7" t="inlineStr">
        <is>
          <t>Day 2 (Oct 11)</t>
        </is>
      </c>
      <c r="E7" s="7" t="inlineStr">
        <is>
          <t>Original</t>
        </is>
      </c>
      <c r="F7" s="19" t="inlineStr">
        <is>
          <t>Nuclei 3.4.10 installed with curated GET-only templates; ZAP passive adapter configured with honest skip reporting.</t>
        </is>
      </c>
      <c r="G7" s="7" t="inlineStr">
        <is>
          <t>Done</t>
        </is>
      </c>
    </row>
    <row r="8" ht="23.85" customHeight="1">
      <c r="A8" s="7" t="n">
        <v>4</v>
      </c>
      <c r="B8" s="7" t="inlineStr">
        <is>
          <t>Aman</t>
        </is>
      </c>
      <c r="C8" s="19" t="inlineStr">
        <is>
          <t>Verify cancel and timeout through the real API; no leftover mitmdump</t>
        </is>
      </c>
      <c r="D8" s="7" t="inlineStr">
        <is>
          <t>Day 2 (Oct 11)</t>
        </is>
      </c>
      <c r="E8" s="7" t="inlineStr">
        <is>
          <t>Original</t>
        </is>
      </c>
      <c r="F8" s="19" t="inlineStr">
        <is>
          <t>Built core/process.py supervisor; tested SIGINT/SIGTERM cancellation; confirms orphaned mitmdump processes terminated.</t>
        </is>
      </c>
      <c r="G8" s="7" t="inlineStr">
        <is>
          <t>Done</t>
        </is>
      </c>
    </row>
    <row r="9" ht="23.85" customHeight="1">
      <c r="A9" s="7" t="n">
        <v>5</v>
      </c>
      <c r="B9" s="7" t="inlineStr">
        <is>
          <t>Aman</t>
        </is>
      </c>
      <c r="C9" s="19" t="inlineStr">
        <is>
          <t>Build HTTP security header audits, cookie flag verification, and inert reflection probes</t>
        </is>
      </c>
      <c r="D9" s="7" t="inlineStr">
        <is>
          <t>Day 3 (Oct 12)</t>
        </is>
      </c>
      <c r="E9" s="7" t="inlineStr">
        <is>
          <t>Original</t>
        </is>
      </c>
      <c r="F9" s="19" t="inlineStr">
        <is>
          <t>Implemented scanners/http_checks.py: verifies HSTS, CSP, X-Frame-Options, HttpOnly/Secure flags, and safe &lt;uwt-probe&gt; reflection.</t>
        </is>
      </c>
      <c r="G9" s="7" t="inlineStr">
        <is>
          <t>Done</t>
        </is>
      </c>
    </row>
    <row r="10" ht="23.85" customHeight="1">
      <c r="A10" s="7" t="n">
        <v>6</v>
      </c>
      <c r="B10" s="7" t="inlineStr">
        <is>
          <t>Aman</t>
        </is>
      </c>
      <c r="C10" s="19" t="inlineStr">
        <is>
          <t>Configure OWASP ZAP passive vulnerability adapter and daemon process manager</t>
        </is>
      </c>
      <c r="D10" s="7" t="inlineStr">
        <is>
          <t>Day 3 (Oct 12)</t>
        </is>
      </c>
      <c r="E10" s="7" t="inlineStr">
        <is>
          <t>Original</t>
        </is>
      </c>
      <c r="F10" s="19" t="inlineStr">
        <is>
          <t>Configured tools/zap OpenJDK 17 + ZAP daemon runner (scripts/zap_ctl.py); hooked passive scanner with API key authentication.</t>
        </is>
      </c>
      <c r="G10" s="7" t="inlineStr">
        <is>
          <t>Done</t>
        </is>
      </c>
    </row>
    <row r="11" ht="23.85" customHeight="1">
      <c r="A11" s="7" t="n">
        <v>7</v>
      </c>
      <c r="B11" s="7" t="inlineStr">
        <is>
          <t>Aman</t>
        </is>
      </c>
      <c r="C11" s="19" t="inlineStr">
        <is>
          <t>Verify HTML, JSON, CSV, PDF exports; open CSV in Excel</t>
        </is>
      </c>
      <c r="D11" s="7" t="inlineStr">
        <is>
          <t>Day 4 (Oct 13)</t>
        </is>
      </c>
      <c r="E11" s="7" t="inlineStr">
        <is>
          <t>Original</t>
        </is>
      </c>
      <c r="F11" s="19" t="inlineStr">
        <is>
          <t>Verified all export routes in backend/app/api/exports.py; validated ReportLab PDF generation and CSV RFC 4180 compatibility in Excel.</t>
        </is>
      </c>
      <c r="G11" s="7" t="inlineStr">
        <is>
          <t>Done</t>
        </is>
      </c>
    </row>
    <row r="12" ht="23.85" customHeight="1">
      <c r="A12" s="7" t="n">
        <v>8</v>
      </c>
      <c r="B12" s="7" t="inlineStr">
        <is>
          <t>Aman</t>
        </is>
      </c>
      <c r="C12" s="19" t="inlineStr">
        <is>
          <t>Execute full backend regression test suite and optimize API performance</t>
        </is>
      </c>
      <c r="D12" s="7" t="inlineStr">
        <is>
          <t>Day 5 (Oct 14)</t>
        </is>
      </c>
      <c r="E12" s="7" t="inlineStr">
        <is>
          <t>Original</t>
        </is>
      </c>
      <c r="F12" s="19" t="inlineStr">
        <is>
          <t>146 pytest tests passed (0 failed, 111s); validated Dockerfile containerization and environment variables.</t>
        </is>
      </c>
      <c r="G12" s="7" t="inlineStr">
        <is>
          <t>Done</t>
        </is>
      </c>
    </row>
    <row r="13" ht="23.85" customHeight="1">
      <c r="A13" s="7" t="n">
        <v>9</v>
      </c>
      <c r="B13" s="7" t="inlineStr">
        <is>
          <t>Dibya</t>
        </is>
      </c>
      <c r="C13" s="19" t="inlineStr">
        <is>
          <t>Configure Playwright Chromium headless crawler and snapshot engine</t>
        </is>
      </c>
      <c r="D13" s="7" t="inlineStr">
        <is>
          <t>Day 1 (Oct 10)</t>
        </is>
      </c>
      <c r="E13" s="7" t="inlineStr">
        <is>
          <t>Original</t>
        </is>
      </c>
      <c r="F13" s="19" t="inlineStr">
        <is>
          <t>Playwright 1.52.0 Chromium configured; captured responsive DOM states and full-page viewport screenshots.</t>
        </is>
      </c>
      <c r="G13" s="7" t="inlineStr">
        <is>
          <t>Done</t>
        </is>
      </c>
    </row>
    <row r="14" ht="23.85" customHeight="1">
      <c r="A14" s="7" t="n">
        <v>10</v>
      </c>
      <c r="B14" s="7" t="inlineStr">
        <is>
          <t>Dibya</t>
        </is>
      </c>
      <c r="C14" s="19" t="inlineStr">
        <is>
          <t>Integrate axe-core 4.10.3 and Pa11y 8.0.0 accessibility scanners</t>
        </is>
      </c>
      <c r="D14" s="7" t="inlineStr">
        <is>
          <t>Day 2 (Oct 11)</t>
        </is>
      </c>
      <c r="E14" s="7" t="inlineStr">
        <is>
          <t>Original</t>
        </is>
      </c>
      <c r="F14" s="19" t="inlineStr">
        <is>
          <t>Built Node subprocess adapters in tools/; mapped WCAG 2.1 AA violation rules (contrast, alt text, form labels).</t>
        </is>
      </c>
      <c r="G14" s="7" t="inlineStr">
        <is>
          <t>Done</t>
        </is>
      </c>
    </row>
    <row r="15" ht="23.85" customHeight="1">
      <c r="A15" s="7" t="n">
        <v>11</v>
      </c>
      <c r="B15" s="7" t="inlineStr">
        <is>
          <t>Dibya</t>
        </is>
      </c>
      <c r="C15" s="19" t="inlineStr">
        <is>
          <t>Build and bundle bundled practice application with 16 intentional flaws</t>
        </is>
      </c>
      <c r="D15" s="7" t="inlineStr">
        <is>
          <t>Day 2 (Oct 11)</t>
        </is>
      </c>
      <c r="E15" s="7" t="inlineStr">
        <is>
          <t>Original</t>
        </is>
      </c>
      <c r="F15" s="19" t="inlineStr">
        <is>
          <t>practice_app/app.py built with known flaws; expected_findings.json baseline authored for end-to-end verification.</t>
        </is>
      </c>
      <c r="G15" s="7" t="inlineStr">
        <is>
          <t>Done</t>
        </is>
      </c>
    </row>
    <row r="16" ht="23.85" customHeight="1">
      <c r="A16" s="7" t="n">
        <v>12</v>
      </c>
      <c r="B16" s="7" t="inlineStr">
        <is>
          <t>Dibya</t>
        </is>
      </c>
      <c r="C16" s="19" t="inlineStr">
        <is>
          <t>Implement directory crawl scoping (_in_scope) and internal link health checker (#5, #9)</t>
        </is>
      </c>
      <c r="D16" s="7" t="inlineStr">
        <is>
          <t>Day 3 (Oct 12)</t>
        </is>
      </c>
      <c r="E16" s="7" t="inlineStr">
        <is>
          <t>Original</t>
        </is>
      </c>
      <c r="F16" s="19" t="inlineStr">
        <is>
          <t>Scoped crawls to submitted folder subtree; enhanced check_links to separate HEAD errors/timeouts from broken links.</t>
        </is>
      </c>
      <c r="G16" s="7" t="inlineStr">
        <is>
          <t>Done</t>
        </is>
      </c>
    </row>
    <row r="17" ht="23.85" customHeight="1">
      <c r="A17" s="7" t="n">
        <v>13</v>
      </c>
      <c r="B17" s="7" t="inlineStr">
        <is>
          <t>Dibya</t>
        </is>
      </c>
      <c r="C17" s="19" t="inlineStr">
        <is>
          <t>Design and implement frontend diagnostic workspace &amp; Dark/Light mode theme system</t>
        </is>
      </c>
      <c r="D17" s="7" t="inlineStr">
        <is>
          <t>Day 3 (Oct 12)</t>
        </is>
      </c>
      <c r="E17" s="7" t="inlineStr">
        <is>
          <t>Original</t>
        </is>
      </c>
      <c r="F17" s="19" t="inlineStr">
        <is>
          <t>Built modern diagnostic workspace in frontend/src/styles.css; added seamless Dark/Light mode tokens and persistent local storage toggle.</t>
        </is>
      </c>
      <c r="G17" s="7" t="inlineStr">
        <is>
          <t>Done</t>
        </is>
      </c>
    </row>
    <row r="18" ht="23.85" customHeight="1">
      <c r="A18" s="7" t="n">
        <v>14</v>
      </c>
      <c r="B18" s="7" t="inlineStr">
        <is>
          <t>Dibya</t>
        </is>
      </c>
      <c r="C18" s="19" t="inlineStr">
        <is>
          <t>Implement real-time Playwright live screencast viewport stream and non-intrusive log terminal</t>
        </is>
      </c>
      <c r="D18" s="7" t="inlineStr">
        <is>
          <t>Day 4 (Oct 13)</t>
        </is>
      </c>
      <c r="E18" s="7" t="inlineStr">
        <is>
          <t>Original</t>
        </is>
      </c>
      <c r="F18" s="19" t="inlineStr">
        <is>
          <t>Integrated live JPEG screencast canvas in Progress.tsx; implemented smart log auto-scrolling with user scroll intention detection.</t>
        </is>
      </c>
      <c r="G18" s="7" t="inlineStr">
        <is>
          <t>Done</t>
        </is>
      </c>
    </row>
    <row r="19" ht="23.85" customHeight="1">
      <c r="A19" s="7" t="n">
        <v>15</v>
      </c>
      <c r="B19" s="7" t="inlineStr">
        <is>
          <t>Dibya</t>
        </is>
      </c>
      <c r="C19" s="19" t="inlineStr">
        <is>
          <t>Verify 16/16 practice app flaws accounted for; refresh UI screenshots</t>
        </is>
      </c>
      <c r="D19" s="7" t="inlineStr">
        <is>
          <t>Day 5 (Oct 14)</t>
        </is>
      </c>
      <c r="E19" s="7" t="inlineStr">
        <is>
          <t>Original</t>
        </is>
      </c>
      <c r="F19" s="19" t="inlineStr">
        <is>
          <t>Practice app scanned: all 16 intentional flaws detected across 7 pages; actual screenshots captured in screenshots/actual/.</t>
        </is>
      </c>
      <c r="G19" s="7" t="inlineStr">
        <is>
          <t>Done</t>
        </is>
      </c>
    </row>
    <row r="20" ht="23.85" customHeight="1">
      <c r="A20" s="7" t="n">
        <v>16</v>
      </c>
      <c r="B20" s="7" t="inlineStr">
        <is>
          <t>Dibya</t>
        </is>
      </c>
      <c r="C20" s="19" t="inlineStr">
        <is>
          <t>Compile production frontend Vite bundle and verify UI responsiveness</t>
        </is>
      </c>
      <c r="D20" s="7" t="inlineStr">
        <is>
          <t>Day 5 (Oct 14)</t>
        </is>
      </c>
      <c r="E20" s="7" t="inlineStr">
        <is>
          <t>Original</t>
        </is>
      </c>
      <c r="F20" s="19" t="inlineStr">
        <is>
          <t>Executed npm run build; generated dist/assets; verified zero console errors and clean responsive layout.</t>
        </is>
      </c>
      <c r="G20" s="7" t="inlineStr">
        <is>
          <t>Done</t>
        </is>
      </c>
    </row>
    <row r="21" ht="23.85" customHeight="1">
      <c r="A21" s="7" t="n">
        <v>17</v>
      </c>
      <c r="B21" s="7" t="inlineStr">
        <is>
          <t>Nagendra</t>
        </is>
      </c>
      <c r="C21" s="19" t="inlineStr">
        <is>
          <t>Setup local Ollama server on NVIDIA Jetson Orin AGX and deploy models</t>
        </is>
      </c>
      <c r="D21" s="7" t="inlineStr">
        <is>
          <t>Day 1 (Oct 10)</t>
        </is>
      </c>
      <c r="E21" s="7" t="inlineStr">
        <is>
          <t>Original</t>
        </is>
      </c>
      <c r="F21" s="19" t="inlineStr">
        <is>
          <t>Deployed Qwen2.5:1.5b (986MB) and Qwen2.5vl:7b (4.7GB) on Ollama 127.0.0.1:11434 with ARM CPU neon acceleration.</t>
        </is>
      </c>
      <c r="G21" s="7" t="inlineStr">
        <is>
          <t>Done</t>
        </is>
      </c>
    </row>
    <row r="22" ht="23.85" customHeight="1">
      <c r="A22" s="7" t="n">
        <v>18</v>
      </c>
      <c r="B22" s="7" t="inlineStr">
        <is>
          <t>Nagendra</t>
        </is>
      </c>
      <c r="C22" s="19" t="inlineStr">
        <is>
          <t>Integrate Qwen2.5:1.5b for page classification, form test generation, and finding triage</t>
        </is>
      </c>
      <c r="D22" s="7" t="inlineStr">
        <is>
          <t>Day 2 (Oct 11)</t>
        </is>
      </c>
      <c r="E22" s="7" t="inlineStr">
        <is>
          <t>Original</t>
        </is>
      </c>
      <c r="F22" s="19" t="inlineStr">
        <is>
          <t>Hooked Ollama API; created client-side form validation tests (8/8 executed); built automated finding triage.</t>
        </is>
      </c>
      <c r="G22" s="7" t="inlineStr">
        <is>
          <t>Done</t>
        </is>
      </c>
    </row>
    <row r="23" ht="23.85" customHeight="1">
      <c r="A23" s="7" t="n">
        <v>19</v>
      </c>
      <c r="B23" s="7" t="inlineStr">
        <is>
          <t>Nagendra</t>
        </is>
      </c>
      <c r="C23" s="19" t="inlineStr">
        <is>
          <t>Integrate Qwen2.5vl:7b multimodal vision model for screenshot UX inspection</t>
        </is>
      </c>
      <c r="D23" s="7" t="inlineStr">
        <is>
          <t>Day 2 (Oct 11)</t>
        </is>
      </c>
      <c r="E23" s="7" t="inlineStr">
        <is>
          <t>Original</t>
        </is>
      </c>
      <c r="F23" s="19" t="inlineStr">
        <is>
          <t>Built vision inspection pipeline; detects overlapping text, visual clutter, and touch target sizing defects.</t>
        </is>
      </c>
      <c r="G23" s="7" t="inlineStr">
        <is>
          <t>Done</t>
        </is>
      </c>
    </row>
    <row r="24" ht="23.85" customHeight="1">
      <c r="A24" s="7" t="n">
        <v>20</v>
      </c>
      <c r="B24" s="7" t="inlineStr">
        <is>
          <t>Nagendra</t>
        </is>
      </c>
      <c r="C24" s="19" t="inlineStr">
        <is>
          <t>Integrate Lighthouse 12.6.1 and Locust 2.37.14 load testing</t>
        </is>
      </c>
      <c r="D24" s="7" t="inlineStr">
        <is>
          <t>Day 3 (Oct 12)</t>
        </is>
      </c>
      <c r="E24" s="7" t="inlineStr">
        <is>
          <t>Original</t>
        </is>
      </c>
      <c r="F24" s="19" t="inlineStr">
        <is>
          <t>Lighthouse Core Web Vitals (FCP, LCP, CLS, TBT) hooked; Locust 4-user concurrency test capped with strict safety limits.</t>
        </is>
      </c>
      <c r="G24" s="7" t="inlineStr">
        <is>
          <t>Done</t>
        </is>
      </c>
    </row>
    <row r="25" ht="23.85" customHeight="1">
      <c r="A25" s="7" t="n">
        <v>21</v>
      </c>
      <c r="B25" s="7" t="inlineStr">
        <is>
          <t>Nagendra</t>
        </is>
      </c>
      <c r="C25" s="19" t="inlineStr">
        <is>
          <t>Upgrade HTTP timing scanner with comprehensive latency statistics (#6)</t>
        </is>
      </c>
      <c r="D25" s="7" t="inlineStr">
        <is>
          <t>Day 3 (Oct 12)</t>
        </is>
      </c>
      <c r="E25" s="7" t="inlineStr">
        <is>
          <t>Original</t>
        </is>
      </c>
      <c r="F25" s="19" t="inlineStr">
        <is>
          <t>Added sample_count, mean, median, min, and max latency calculations with sub-millisecond precision.</t>
        </is>
      </c>
      <c r="G25" s="7" t="inlineStr">
        <is>
          <t>Done</t>
        </is>
      </c>
    </row>
    <row r="26" ht="23.85" customHeight="1">
      <c r="A26" s="7" t="n">
        <v>22</v>
      </c>
      <c r="B26" s="7" t="inlineStr">
        <is>
          <t>Nagendra</t>
        </is>
      </c>
      <c r="C26" s="19" t="inlineStr">
        <is>
          <t>Build 8-sheet Excel export engine (openpyxl) and AI Model Hub</t>
        </is>
      </c>
      <c r="D26" s="7" t="inlineStr">
        <is>
          <t>Day 4 (Oct 13)</t>
        </is>
      </c>
      <c r="E26" s="7" t="inlineStr">
        <is>
          <t>Original</t>
        </is>
      </c>
      <c r="F26" s="19" t="inlineStr">
        <is>
          <t>backend/app/api/xlsx_export.py authored; AI Model Hub (/models) built with open-weight ranking and health checks.</t>
        </is>
      </c>
      <c r="G26" s="7" t="inlineStr">
        <is>
          <t>Done</t>
        </is>
      </c>
    </row>
    <row r="27" ht="23.85" customHeight="1">
      <c r="A27" s="7" t="n">
        <v>23</v>
      </c>
      <c r="B27" s="7" t="inlineStr">
        <is>
          <t>Nagendra</t>
        </is>
      </c>
      <c r="C27" s="19" t="inlineStr">
        <is>
          <t>Verify finding deduplication and automated re-test verification engine</t>
        </is>
      </c>
      <c r="D27" s="7" t="inlineStr">
        <is>
          <t>Day 4 (Oct 13)</t>
        </is>
      </c>
      <c r="E27" s="7" t="inlineStr">
        <is>
          <t>Original</t>
        </is>
      </c>
      <c r="F27" s="19" t="inlineStr">
        <is>
          <t>Deduplication reduced 152 raw tool alerts to 31 distinct findings; 27 verified by secondary automated re-test.</t>
        </is>
      </c>
      <c r="G27" s="7" t="inlineStr">
        <is>
          <t>Done</t>
        </is>
      </c>
    </row>
    <row r="28" ht="23.85" customHeight="1">
      <c r="A28" s="7" t="n">
        <v>24</v>
      </c>
      <c r="B28" s="7" t="inlineStr">
        <is>
          <t>Nagendra</t>
        </is>
      </c>
      <c r="C28" s="19" t="inlineStr">
        <is>
          <t>Finalize BUILD_STATUS.md, TEST_REPORT.md, and conduct full practice app audit</t>
        </is>
      </c>
      <c r="D28" s="7" t="inlineStr">
        <is>
          <t>Day 5 (Oct 14)</t>
        </is>
      </c>
      <c r="E28" s="7" t="inlineStr">
        <is>
          <t>Original</t>
        </is>
      </c>
      <c r="F28" s="19" t="inlineStr">
        <is>
          <t>Documented honest test results (58/100 health score, 88% check coverage); verified package release integrity.</t>
        </is>
      </c>
      <c r="G28" s="7" t="inlineStr">
        <is>
          <t>Done</t>
        </is>
      </c>
    </row>
    <row r="29" ht="23.85" customHeight="1">
      <c r="A29" s="7" t="n">
        <v>25</v>
      </c>
      <c r="B29" s="7" t="inlineStr">
        <is>
          <t>Nagendra</t>
        </is>
      </c>
      <c r="C29" s="19" t="inlineStr">
        <is>
          <t>Setup local Ollama on NVIDIA Jetson Orin AGX; deploy Qwen2.5:1.5b and Qwen2.5vl:7b</t>
        </is>
      </c>
      <c r="D29" s="7" t="inlineStr">
        <is>
          <t>Day 1 (Oct 10)</t>
        </is>
      </c>
      <c r="E29" s="7" t="inlineStr">
        <is>
          <t>Recap of earlier work</t>
        </is>
      </c>
      <c r="F29" s="19" t="inlineStr">
        <is>
          <t>Models served at 127.0.0.1:11434; no cloud fallback.</t>
        </is>
      </c>
      <c r="G29" s="7" t="inlineStr">
        <is>
          <t>Done</t>
        </is>
      </c>
    </row>
    <row r="30" ht="23.85" customHeight="1">
      <c r="A30" s="7" t="n">
        <v>26</v>
      </c>
      <c r="B30" s="7" t="inlineStr">
        <is>
          <t>Nagendra</t>
        </is>
      </c>
      <c r="C30" s="19" t="inlineStr">
        <is>
          <t>Build SSRF guard, exact-origin allowlist policy and URL sanitizer (clean_input_url)</t>
        </is>
      </c>
      <c r="D30" s="7" t="inlineStr">
        <is>
          <t>Day 1 (Oct 10)</t>
        </is>
      </c>
      <c r="E30" s="7" t="inlineStr">
        <is>
          <t>Recap of earlier work</t>
        </is>
      </c>
      <c r="F30" s="19" t="inlineStr">
        <is>
          <t>RFC1918/metadata blocked; pasted markdown links normalized.</t>
        </is>
      </c>
      <c r="G30" s="7" t="inlineStr">
        <is>
          <t>Done</t>
        </is>
      </c>
    </row>
    <row r="31" ht="23.85" customHeight="1">
      <c r="A31" s="7" t="n">
        <v>27</v>
      </c>
      <c r="B31" s="7" t="inlineStr">
        <is>
          <t>Nagendra</t>
        </is>
      </c>
      <c r="C31" s="19" t="inlineStr">
        <is>
          <t>Implement Playwright crawler with directory scope (_in_scope, scope_prefix) and nav retries (#2, #9)</t>
        </is>
      </c>
      <c r="D31" s="7" t="inlineStr">
        <is>
          <t>Day 2 (Oct 11)</t>
        </is>
      </c>
      <c r="E31" s="7" t="inlineStr">
        <is>
          <t>Recap of earlier work</t>
        </is>
      </c>
      <c r="F31" s="19" t="inlineStr">
        <is>
          <t>Deep seeds stay within submitted folder; failed pages isolated, failed_details recorded.</t>
        </is>
      </c>
      <c r="G31" s="7" t="inlineStr">
        <is>
          <t>Done</t>
        </is>
      </c>
    </row>
    <row r="32" ht="23.85" customHeight="1">
      <c r="A32" s="7" t="n">
        <v>28</v>
      </c>
      <c r="B32" s="7" t="inlineStr">
        <is>
          <t>Nagendra</t>
        </is>
      </c>
      <c r="C32" s="19" t="inlineStr">
        <is>
          <t>Integrate Nuclei (GET-only), ZAP passive, axe-core, Pa11y, Lighthouse, Locust adapters</t>
        </is>
      </c>
      <c r="D32" s="7" t="inlineStr">
        <is>
          <t>Day 2 (Oct 11)</t>
        </is>
      </c>
      <c r="E32" s="7" t="inlineStr">
        <is>
          <t>Recap of earlier work</t>
        </is>
      </c>
      <c r="F32" s="19" t="inlineStr">
        <is>
          <t>All scanners skip honestly when unavailable; never scored as a pass.</t>
        </is>
      </c>
      <c r="G32" s="7" t="inlineStr">
        <is>
          <t>Done</t>
        </is>
      </c>
    </row>
    <row r="33" ht="23.85" customHeight="1">
      <c r="A33" s="7" t="n">
        <v>29</v>
      </c>
      <c r="B33" s="7" t="inlineStr">
        <is>
          <t>Nagendra</t>
        </is>
      </c>
      <c r="C33" s="19" t="inlineStr">
        <is>
          <t>Build Qwen2.5:1.5b text pipeline (classification, form tests, triage) and Qwen2.5vl:7b vision review</t>
        </is>
      </c>
      <c r="D33" s="7" t="inlineStr">
        <is>
          <t>Day 3 (Oct 12)</t>
        </is>
      </c>
      <c r="E33" s="7" t="inlineStr">
        <is>
          <t>Recap of earlier work</t>
        </is>
      </c>
      <c r="F33" s="19" t="inlineStr">
        <is>
          <t>8/8 client-side form cases executed; visual findings stay Possible.</t>
        </is>
      </c>
      <c r="G33" s="7" t="inlineStr">
        <is>
          <t>Done</t>
        </is>
      </c>
    </row>
    <row r="34" ht="35.1" customHeight="1">
      <c r="A34" s="7" t="n">
        <v>30</v>
      </c>
      <c r="B34" s="7" t="inlineStr">
        <is>
          <t>Nagendra</t>
        </is>
      </c>
      <c r="C34" s="19" t="inlineStr">
        <is>
          <t>Upgrade HTTP timing with sample_count/mean/median/min/max (#6); 10-sheet XLSX exporter</t>
        </is>
      </c>
      <c r="D34" s="7" t="inlineStr">
        <is>
          <t>Day 3 (Oct 12)</t>
        </is>
      </c>
      <c r="E34" s="7" t="inlineStr">
        <is>
          <t>Recap of earlier work</t>
        </is>
      </c>
      <c r="F34" s="19" t="inlineStr">
        <is>
          <t>Latency stats verified; exports HTML/JSON/CSV/PDF/XLSX.</t>
        </is>
      </c>
      <c r="G34" s="7" t="inlineStr">
        <is>
          <t>Done</t>
        </is>
      </c>
    </row>
    <row r="35" ht="23.85" customHeight="1">
      <c r="A35" s="7" t="n">
        <v>31</v>
      </c>
      <c r="B35" s="7" t="inlineStr">
        <is>
          <t>Nagendra</t>
        </is>
      </c>
      <c r="C35" s="19" t="inlineStr">
        <is>
          <t>Add runtime per-origin authorization: approvals.py store + attestation (policy.authorize/revoke)</t>
        </is>
      </c>
      <c r="D35" s="7" t="inlineStr">
        <is>
          <t>Day 4 (Oct 13)</t>
        </is>
      </c>
      <c r="E35" s="7" t="inlineStr">
        <is>
          <t>Later addition</t>
        </is>
      </c>
      <c r="F35" s="19" t="inlineStr">
        <is>
          <t>data/approved_origins.json persists user-attested origins; still exact-origin + SSRF-safe.</t>
        </is>
      </c>
      <c r="G35" s="7" t="inlineStr">
        <is>
          <t>Done</t>
        </is>
      </c>
    </row>
    <row r="36" ht="23.85" customHeight="1">
      <c r="A36" s="7" t="n">
        <v>32</v>
      </c>
      <c r="B36" s="7" t="inlineStr">
        <is>
          <t>Nagendra</t>
        </is>
      </c>
      <c r="C36" s="19" t="inlineStr">
        <is>
          <t>Expose POST /api/policy/authorize (403 without attestation) and /api/policy/revoke; split deployment vs user origins</t>
        </is>
      </c>
      <c r="D36" s="7" t="inlineStr">
        <is>
          <t>Day 4 (Oct 13)</t>
        </is>
      </c>
      <c r="E36" s="7" t="inlineStr">
        <is>
          <t>Later addition</t>
        </is>
      </c>
      <c r="F36" s="19" t="inlineStr">
        <is>
          <t>Live-verified: example.com false -&gt; attested -&gt; true -&gt; revoked -&gt; false.</t>
        </is>
      </c>
      <c r="G36" s="7" t="inlineStr">
        <is>
          <t>Done</t>
        </is>
      </c>
    </row>
    <row r="37" ht="23.85" customHeight="1">
      <c r="A37" s="7" t="n">
        <v>33</v>
      </c>
      <c r="B37" s="7" t="inlineStr">
        <is>
          <t>Nagendra</t>
        </is>
      </c>
      <c r="C37" s="19" t="inlineStr">
        <is>
          <t>Frontend 'Authorize this origin' button + attestation checkbox; rebuild and serve new bundle</t>
        </is>
      </c>
      <c r="D37" s="7" t="inlineStr">
        <is>
          <t>Day 4 (Oct 13)</t>
        </is>
      </c>
      <c r="E37" s="7" t="inlineStr">
        <is>
          <t>Later addition</t>
        </is>
      </c>
      <c r="F37" s="19" t="inlineStr">
        <is>
          <t>npm install + vite build succeeded; backend serves index-CaJTq-Xt.js.</t>
        </is>
      </c>
      <c r="G37" s="7" t="inlineStr">
        <is>
          <t>Done</t>
        </is>
      </c>
    </row>
    <row r="38" ht="23.85" customHeight="1">
      <c r="A38" s="7" t="n">
        <v>34</v>
      </c>
      <c r="B38" s="7" t="inlineStr">
        <is>
          <t>Nagendra</t>
        </is>
      </c>
      <c r="C38" s="19" t="inlineStr">
        <is>
          <t>Fix 'ZAP Unavailable' popup: honest optional status + actionable resolution; ready=required-only</t>
        </is>
      </c>
      <c r="D38" s="7" t="inlineStr">
        <is>
          <t>Day 4 (Oct 13)</t>
        </is>
      </c>
      <c r="E38" s="7" t="inlineStr">
        <is>
          <t>Later addition</t>
        </is>
      </c>
      <c r="F38" s="19" t="inlineStr">
        <is>
          <t>/api/tools distinguishes reachable/installed-down/not-installed; UI shows 'Optional'.</t>
        </is>
      </c>
      <c r="G38" s="7" t="inlineStr">
        <is>
          <t>Done</t>
        </is>
      </c>
    </row>
    <row r="39" ht="23.85" customHeight="1">
      <c r="A39" s="7" t="n">
        <v>35</v>
      </c>
      <c r="B39" s="7" t="inlineStr">
        <is>
          <t>Nagendra</t>
        </is>
      </c>
      <c r="C39" s="19" t="inlineStr">
        <is>
          <t>Integrate k6 GET-only load adapter (tools/k6-script.js, scanners/k6.py) with same hard caps as Locust</t>
        </is>
      </c>
      <c r="D39" s="7" t="inlineStr">
        <is>
          <t>Day 4 (Oct 13)</t>
        </is>
      </c>
      <c r="E39" s="7" t="inlineStr">
        <is>
          <t>Later addition</t>
        </is>
      </c>
      <c r="F39" s="19" t="inlineStr">
        <is>
          <t>Skips honestly when k6 binary absent; 13 scanner tests added.</t>
        </is>
      </c>
      <c r="G39" s="7" t="inlineStr">
        <is>
          <t>Done</t>
        </is>
      </c>
    </row>
    <row r="40" ht="23.85" customHeight="1">
      <c r="A40" s="7" t="n">
        <v>36</v>
      </c>
      <c r="B40" s="7" t="inlineStr">
        <is>
          <t>Nagendra</t>
        </is>
      </c>
      <c r="C40" s="19" t="inlineStr">
        <is>
          <t>Integrate Nikto (active, opt-in) adapter: DoS tuning excluded, proxy-routed, bounded</t>
        </is>
      </c>
      <c r="D40" s="7" t="inlineStr">
        <is>
          <t>Day 4 (Oct 13)</t>
        </is>
      </c>
      <c r="E40" s="7" t="inlineStr">
        <is>
          <t>Later addition</t>
        </is>
      </c>
      <c r="F40" s="19" t="inlineStr">
        <is>
          <t>UWT_NIKTO_ENABLED default false; gated by authorization.</t>
        </is>
      </c>
      <c r="G40" s="7" t="inlineStr">
        <is>
          <t>Done</t>
        </is>
      </c>
    </row>
    <row r="41" ht="23.85" customHeight="1">
      <c r="A41" s="7" t="n">
        <v>37</v>
      </c>
      <c r="B41" s="7" t="inlineStr">
        <is>
          <t>Nagendra</t>
        </is>
      </c>
      <c r="C41" s="19" t="inlineStr">
        <is>
          <t>Integrate sqlmap (active, opt-in) DETECTION-ONLY adapter: BEU, level1/risk1, no dump/os/file options</t>
        </is>
      </c>
      <c r="D41" s="7" t="inlineStr">
        <is>
          <t>Day 4 (Oct 13)</t>
        </is>
      </c>
      <c r="E41" s="7" t="inlineStr">
        <is>
          <t>Later addition</t>
        </is>
      </c>
      <c r="F41" s="19" t="inlineStr">
        <is>
          <t>UWT_SQLMAP_ENABLED default false; only parameterised same-origin GET URLs.</t>
        </is>
      </c>
      <c r="G41" s="7" t="inlineStr">
        <is>
          <t>Done</t>
        </is>
      </c>
    </row>
    <row r="42" ht="23.85" customHeight="1">
      <c r="A42" s="7" t="n">
        <v>38</v>
      </c>
      <c r="B42" s="7" t="inlineStr">
        <is>
          <t>Nagendra</t>
        </is>
      </c>
      <c r="C42" s="19" t="inlineStr">
        <is>
          <t>Add honest binary resolver (resolve_binary): explicit-but-missing tool is skipped, not substituted (#3/#10)</t>
        </is>
      </c>
      <c r="D42" s="7" t="inlineStr">
        <is>
          <t>Day 4 (Oct 13)</t>
        </is>
      </c>
      <c r="E42" s="7" t="inlineStr">
        <is>
          <t>Later addition</t>
        </is>
      </c>
      <c r="F42" s="19" t="inlineStr">
        <is>
          <t>Fixed nuclei.py and browser.py fallbacks; fixed ZAP test mock signature.</t>
        </is>
      </c>
      <c r="G42" s="7" t="inlineStr">
        <is>
          <t>Done</t>
        </is>
      </c>
    </row>
    <row r="43" ht="23.85" customHeight="1">
      <c r="A43" s="7" t="n">
        <v>39</v>
      </c>
      <c r="B43" s="7" t="inlineStr">
        <is>
          <t>Nagendra</t>
        </is>
      </c>
      <c r="C43" s="19" t="inlineStr">
        <is>
          <t>Run full regression + live end-to-end; document honest limitations; update .env.example</t>
        </is>
      </c>
      <c r="D43" s="7" t="inlineStr">
        <is>
          <t>Day 5 (Oct 14)</t>
        </is>
      </c>
      <c r="E43" s="7" t="inlineStr">
        <is>
          <t>Later addition</t>
        </is>
      </c>
      <c r="F43" s="19" t="inlineStr">
        <is>
          <t>186 pytest tests pass (0 failed); real practice run 58/100, 7 pages, 27/31 verified.</t>
        </is>
      </c>
      <c r="G43" s="7" t="inlineStr">
        <is>
          <t>Done</t>
        </is>
      </c>
    </row>
  </sheetData>
  <autoFilter ref="A4:G43"/>
  <conditionalFormatting sqref="G5:G43">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E31"/>
  <sheetViews>
    <sheetView showGridLines="0" zoomScaleNormal="100" workbookViewId="0">
      <pane ySplit="4" topLeftCell="A5" activePane="bottomLeft" state="frozen"/>
      <selection pane="bottomLeft" activeCell="A1" sqref="A1"/>
    </sheetView>
  </sheetViews>
  <sheetFormatPr baseColWidth="8" defaultColWidth="8.7109375" defaultRowHeight="15"/>
  <cols>
    <col width="6" customWidth="1" min="1" max="1"/>
    <col width="11" customWidth="1" min="2" max="2"/>
    <col width="70" customWidth="1" min="3" max="3"/>
    <col width="10" customWidth="1" min="4" max="4"/>
    <col width="65" customWidth="1" min="5" max="5"/>
  </cols>
  <sheetData>
    <row r="1" ht="19.7" customHeight="1">
      <c r="A1" s="3" t="inlineStr">
        <is>
          <t>Manual Checks</t>
        </is>
      </c>
    </row>
    <row r="2">
      <c r="A2" s="4" t="inlineStr">
        <is>
          <t>All checks were run on Linux (NVIDIA Jetson Orin AGX). Duplicate checks from the two files were merged into one.</t>
        </is>
      </c>
    </row>
    <row r="4">
      <c r="A4" s="20" t="inlineStr">
        <is>
          <t>No.</t>
        </is>
      </c>
      <c r="B4" s="20" t="inlineStr">
        <is>
          <t>Member</t>
        </is>
      </c>
      <c r="C4" s="20" t="inlineStr">
        <is>
          <t>What was checked</t>
        </is>
      </c>
      <c r="D4" s="20" t="inlineStr">
        <is>
          <t>Result</t>
        </is>
      </c>
      <c r="E4" s="20" t="inlineStr">
        <is>
          <t>Evidence / notes</t>
        </is>
      </c>
    </row>
    <row r="5" ht="23.85" customHeight="1">
      <c r="A5" s="7" t="n">
        <v>1</v>
      </c>
      <c r="B5" s="7" t="inlineStr">
        <is>
          <t>Aman</t>
        </is>
      </c>
      <c r="C5" s="19" t="inlineStr">
        <is>
          <t>Submit https://example.com: security and load steps REFUSED</t>
        </is>
      </c>
      <c r="D5" s="7" t="inlineStr">
        <is>
          <t>Pass</t>
        </is>
      </c>
      <c r="E5" s="19" t="inlineStr">
        <is>
          <t>Refused honestly because origin is not allowlisted; read-only discovery steps allowed.</t>
        </is>
      </c>
    </row>
    <row r="6">
      <c r="A6" s="7" t="n">
        <v>2</v>
      </c>
      <c r="B6" s="7" t="inlineStr">
        <is>
          <t>Aman</t>
        </is>
      </c>
      <c r="C6" s="19" t="inlineStr">
        <is>
          <t>Submit http://169.254.169.254/: rejected at submission</t>
        </is>
      </c>
      <c r="D6" s="7" t="inlineStr">
        <is>
          <t>Pass</t>
        </is>
      </c>
      <c r="E6" s="19" t="inlineStr">
        <is>
          <t>SSRF policy blocked AWS/cloud metadata address at initial validation time.</t>
        </is>
      </c>
    </row>
    <row r="7">
      <c r="A7" s="7" t="n">
        <v>3</v>
      </c>
      <c r="B7" s="7" t="inlineStr">
        <is>
          <t>Aman</t>
        </is>
      </c>
      <c r="C7" s="19" t="inlineStr">
        <is>
          <t>Submit http://192.168.1.1/ or 10.0.0.1: rejected at submission</t>
        </is>
      </c>
      <c r="D7" s="7" t="inlineStr">
        <is>
          <t>Pass</t>
        </is>
      </c>
      <c r="E7" s="19" t="inlineStr">
        <is>
          <t>RFC 1918 private IPv4 addresses rejected to prevent internal network scanning.</t>
        </is>
      </c>
    </row>
    <row r="8" ht="23.85" customHeight="1">
      <c r="A8" s="7" t="n">
        <v>4</v>
      </c>
      <c r="B8" s="7" t="inlineStr">
        <is>
          <t>Aman</t>
        </is>
      </c>
      <c r="C8" s="19" t="inlineStr">
        <is>
          <t>Practice app: .env, .git/HEAD, missing headers, weak cookie found with correct Verified/Possible</t>
        </is>
      </c>
      <c r="D8" s="7" t="inlineStr">
        <is>
          <t>Pass</t>
        </is>
      </c>
      <c r="E8" s="19" t="inlineStr">
        <is>
          <t>All security findings corroborated with live HTTP responses and exact evidence strings.</t>
        </is>
      </c>
    </row>
    <row r="9" ht="23.85" customHeight="1">
      <c r="A9" s="7" t="n">
        <v>5</v>
      </c>
      <c r="B9" s="7" t="inlineStr">
        <is>
          <t>Aman</t>
        </is>
      </c>
      <c r="C9" s="19" t="inlineStr">
        <is>
          <t>Cancel mid-scan: cancelled in under 10 s, no leftover browser/proxy process</t>
        </is>
      </c>
      <c r="D9" s="7" t="inlineStr">
        <is>
          <t>Pass</t>
        </is>
      </c>
      <c r="E9" s="19" t="inlineStr">
        <is>
          <t>Process tree terminated cleanly via core/process.py supervisor; zero orphaned mitmdump.</t>
        </is>
      </c>
    </row>
    <row r="10" ht="23.85" customHeight="1">
      <c r="A10" s="7" t="n">
        <v>6</v>
      </c>
      <c r="B10" s="7" t="inlineStr">
        <is>
          <t>Aman</t>
        </is>
      </c>
      <c r="C10" s="19" t="inlineStr">
        <is>
          <t>Submit markdown link '[Juice Shop](https://owasp.org)': sanitized without error</t>
        </is>
      </c>
      <c r="D10" s="7" t="inlineStr">
        <is>
          <t>Pass</t>
        </is>
      </c>
      <c r="E10" s="19" t="inlineStr">
        <is>
          <t>clean_input_url() stripped markdown syntax; domain checked against allowlist correctly.</t>
        </is>
      </c>
    </row>
    <row r="11" ht="23.85" customHeight="1">
      <c r="A11" s="7" t="n">
        <v>7</v>
      </c>
      <c r="B11" s="7" t="inlineStr">
        <is>
          <t>Dibya</t>
        </is>
      </c>
      <c r="C11" s="19" t="inlineStr">
        <is>
          <t>Crawl deep path 'https://owasp.org/projects/juice-shop': stays within /projects/ subtree</t>
        </is>
      </c>
      <c r="D11" s="7" t="inlineStr">
        <is>
          <t>Pass</t>
        </is>
      </c>
      <c r="E11" s="19" t="inlineStr">
        <is>
          <t>Crawler did not wander off to root or unrelated top-level pages; _in_scope enforced.</t>
        </is>
      </c>
    </row>
    <row r="12" ht="23.85" customHeight="1">
      <c r="A12" s="7" t="n">
        <v>8</v>
      </c>
      <c r="B12" s="7" t="inlineStr">
        <is>
          <t>Dibya</t>
        </is>
      </c>
      <c r="C12" s="19" t="inlineStr">
        <is>
          <t>Practice app crawl: 7 pages mapped, 0 failed, 0 undiscovered</t>
        </is>
      </c>
      <c r="D12" s="7" t="inlineStr">
        <is>
          <t>Pass</t>
        </is>
      </c>
      <c r="E12" s="19" t="inlineStr">
        <is>
          <t>Root scope ('/') traversed all 7 pages of bundled practice app cleanly without timeouts.</t>
        </is>
      </c>
    </row>
    <row r="13" ht="23.85" customHeight="1">
      <c r="A13" s="7" t="n">
        <v>9</v>
      </c>
      <c r="B13" s="7" t="inlineStr">
        <is>
          <t>Dibya</t>
        </is>
      </c>
      <c r="C13" s="19" t="inlineStr">
        <is>
          <t>check_links: internal links checked without silent drops, unverified tracked</t>
        </is>
      </c>
      <c r="D13" s="7" t="inlineStr">
        <is>
          <t>Pass</t>
        </is>
      </c>
      <c r="E13" s="19" t="inlineStr">
        <is>
          <t>7/7 links checked; unverified_details exposes reasons rather than hiding missing links.</t>
        </is>
      </c>
    </row>
    <row r="14" ht="23.85" customHeight="1">
      <c r="A14" s="7" t="n">
        <v>10</v>
      </c>
      <c r="B14" s="7" t="inlineStr">
        <is>
          <t>Dibya</t>
        </is>
      </c>
      <c r="C14" s="19" t="inlineStr">
        <is>
          <t>Forms test: 8/8 client-side validation test cases executed without mutations</t>
        </is>
      </c>
      <c r="D14" s="7" t="inlineStr">
        <is>
          <t>Pass</t>
        </is>
      </c>
      <c r="E14" s="19" t="inlineStr">
        <is>
          <t>Tested input validity for email, password, and text; zero destructive submissions sent.</t>
        </is>
      </c>
    </row>
    <row r="15" ht="23.85" customHeight="1">
      <c r="A15" s="7" t="n">
        <v>11</v>
      </c>
      <c r="B15" s="7" t="inlineStr">
        <is>
          <t>Dibya</t>
        </is>
      </c>
      <c r="C15" s="19" t="inlineStr">
        <is>
          <t>axe-core: 7/7 pages audited; zero unaudited pages</t>
        </is>
      </c>
      <c r="D15" s="7" t="inlineStr">
        <is>
          <t>Pass</t>
        </is>
      </c>
      <c r="E15" s="19" t="inlineStr">
        <is>
          <t>Identified 101 rule violations (contrast, alt text, missing label, aria-label) with selectors.</t>
        </is>
      </c>
    </row>
    <row r="16" ht="23.85" customHeight="1">
      <c r="A16" s="7" t="n">
        <v>12</v>
      </c>
      <c r="B16" s="7" t="inlineStr">
        <is>
          <t>Dibya</t>
        </is>
      </c>
      <c r="C16" s="19" t="inlineStr">
        <is>
          <t>Frontend: Responsive workspace with Dark/Light mode theme toggle and live screencast viewport stream renders smoothly</t>
        </is>
      </c>
      <c r="D16" s="7" t="inlineStr">
        <is>
          <t>Pass</t>
        </is>
      </c>
      <c r="E16" s="19" t="inlineStr">
        <is>
          <t>Obsidian-slate and Pearl canvas design tokens validated; live Playwright JPEG viewport stream and smooth log auto-scroll confirmed.</t>
        </is>
      </c>
    </row>
    <row r="17">
      <c r="A17" s="7" t="n">
        <v>13</v>
      </c>
      <c r="B17" s="7" t="inlineStr">
        <is>
          <t>Nagendra</t>
        </is>
      </c>
      <c r="C17" s="19" t="inlineStr">
        <is>
          <t>Submit http://169.254.169.254/ and 10.0.0.1: rejected at submission</t>
        </is>
      </c>
      <c r="D17" s="7" t="inlineStr">
        <is>
          <t>Pass</t>
        </is>
      </c>
      <c r="E17" s="19" t="inlineStr">
        <is>
          <t>SSRF/metadata and RFC1918 addresses blocked at validation.</t>
        </is>
      </c>
    </row>
    <row r="18">
      <c r="A18" s="7" t="n">
        <v>14</v>
      </c>
      <c r="B18" s="7" t="inlineStr">
        <is>
          <t>Nagendra</t>
        </is>
      </c>
      <c r="C18" s="19" t="inlineStr">
        <is>
          <t>Submit markdown link '[Lab](http://127.0.0.1:8765/)': sanitized to bare URL</t>
        </is>
      </c>
      <c r="D18" s="7" t="inlineStr">
        <is>
          <t>Pass</t>
        </is>
      </c>
      <c r="E18" s="19" t="inlineStr">
        <is>
          <t>clean_input_url() recovered the real URL; policy/check returned authorized.</t>
        </is>
      </c>
    </row>
    <row r="19" ht="23.85" customHeight="1">
      <c r="A19" s="7" t="n">
        <v>15</v>
      </c>
      <c r="B19" s="7" t="inlineStr">
        <is>
          <t>Nagendra</t>
        </is>
      </c>
      <c r="C19" s="19" t="inlineStr">
        <is>
          <t>Non-allowlisted origin: authorize without attestation -&gt; 403; with attestation -&gt; authorized</t>
        </is>
      </c>
      <c r="D19" s="7" t="inlineStr">
        <is>
          <t>Pass</t>
        </is>
      </c>
      <c r="E19" s="19" t="inlineStr">
        <is>
          <t>POST /api/policy/authorize refuses confirm=false; example.com flipped to authorized then revoked.</t>
        </is>
      </c>
    </row>
    <row r="20" ht="23.85" customHeight="1">
      <c r="A20" s="7" t="n">
        <v>16</v>
      </c>
      <c r="B20" s="7" t="inlineStr">
        <is>
          <t>Nagendra</t>
        </is>
      </c>
      <c r="C20" s="19" t="inlineStr">
        <is>
          <t>Tools popup: ZAP shows 'Optional' with resolution, not a hard 'Unavailable'; engine ready</t>
        </is>
      </c>
      <c r="D20" s="7" t="inlineStr">
        <is>
          <t>Pass</t>
        </is>
      </c>
      <c r="E20" s="19" t="inlineStr">
        <is>
          <t>/api/tools optional+resolution fields; ready reflects required tools only.</t>
        </is>
      </c>
    </row>
    <row r="21">
      <c r="A21" s="7" t="n">
        <v>17</v>
      </c>
      <c r="B21" s="7" t="inlineStr">
        <is>
          <t>Nagendra</t>
        </is>
      </c>
      <c r="C21" s="19" t="inlineStr">
        <is>
          <t>k6/Nikto/sqlmap absent or opt-in off: reported 'skipped', never a pass</t>
        </is>
      </c>
      <c r="D21" s="7" t="inlineStr">
        <is>
          <t>Pass</t>
        </is>
      </c>
      <c r="E21" s="19" t="inlineStr">
        <is>
          <t>Honest skip reasons; active scanners disabled by default.</t>
        </is>
      </c>
    </row>
    <row r="22">
      <c r="A22" s="7" t="n">
        <v>18</v>
      </c>
      <c r="B22" s="7" t="inlineStr">
        <is>
          <t>Nagendra</t>
        </is>
      </c>
      <c r="C22" s="19" t="inlineStr">
        <is>
          <t>Deep seed crawl stays within submitted directory; practice app 7/7 pages, 0 failed</t>
        </is>
      </c>
      <c r="D22" s="7" t="inlineStr">
        <is>
          <t>Pass</t>
        </is>
      </c>
      <c r="E22" s="19" t="inlineStr">
        <is>
          <t>_in_scope enforced; no timeout cascade.</t>
        </is>
      </c>
    </row>
    <row r="23">
      <c r="A23" s="7" t="n">
        <v>19</v>
      </c>
      <c r="B23" s="7" t="inlineStr">
        <is>
          <t>Nagendra</t>
        </is>
      </c>
      <c r="C23" s="19" t="inlineStr">
        <is>
          <t>Forms: 8/8 client-side validation cases executed with zero state-changing submissions</t>
        </is>
      </c>
      <c r="D23" s="7" t="inlineStr">
        <is>
          <t>Pass</t>
        </is>
      </c>
      <c r="E23" s="19" t="inlineStr">
        <is>
          <t>mutations_submitted=0.</t>
        </is>
      </c>
    </row>
    <row r="24">
      <c r="A24" s="7" t="n">
        <v>20</v>
      </c>
      <c r="B24" s="7" t="inlineStr">
        <is>
          <t>Nagendra</t>
        </is>
      </c>
      <c r="C24" s="19" t="inlineStr">
        <is>
          <t>HTTP timing exposes sample_count/mean/median/min/max</t>
        </is>
      </c>
      <c r="D24" s="7" t="inlineStr">
        <is>
          <t>Pass</t>
        </is>
      </c>
      <c r="E24" s="19" t="inlineStr">
        <is>
          <t>3 GETs: mean 50.4ms, median 66.4ms, min 17.1ms, max 67.6ms.</t>
        </is>
      </c>
    </row>
    <row r="25">
      <c r="A25" s="7" t="n">
        <v>21</v>
      </c>
      <c r="B25" s="7" t="inlineStr">
        <is>
          <t>Nagendra</t>
        </is>
      </c>
      <c r="C25" s="19" t="inlineStr">
        <is>
          <t>Ollama reachable; both models ready; no external LLM calls in logs</t>
        </is>
      </c>
      <c r="D25" s="7" t="inlineStr">
        <is>
          <t>Pass</t>
        </is>
      </c>
      <c r="E25" s="19" t="inlineStr">
        <is>
          <t>Tags API 200; 100% local inference.</t>
        </is>
      </c>
    </row>
    <row r="26">
      <c r="A26" s="7" t="n">
        <v>22</v>
      </c>
      <c r="B26" s="7" t="inlineStr">
        <is>
          <t>Nagendra</t>
        </is>
      </c>
      <c r="C26" s="19" t="inlineStr">
        <is>
          <t>Exports HTML/JSON/CSV/PDF/XLSX download correctly</t>
        </is>
      </c>
      <c r="D26" s="7" t="inlineStr">
        <is>
          <t>Pass</t>
        </is>
      </c>
      <c r="E26" s="19" t="inlineStr">
        <is>
          <t>All export routes return valid documents.</t>
        </is>
      </c>
    </row>
    <row r="27">
      <c r="A27" s="7" t="n">
        <v>23</v>
      </c>
      <c r="B27" s="7" t="inlineStr">
        <is>
          <t>Nagendra</t>
        </is>
      </c>
      <c r="C27" s="19" t="inlineStr">
        <is>
          <t>Full regression suite green</t>
        </is>
      </c>
      <c r="D27" s="7" t="inlineStr">
        <is>
          <t>Pass</t>
        </is>
      </c>
      <c r="E27" s="19" t="inlineStr">
        <is>
          <t>186 pytest tests pass (0 failed), incl. 17 new (auth + extra scanners).</t>
        </is>
      </c>
    </row>
    <row r="28">
      <c r="A28" s="7" t="n">
        <v>24</v>
      </c>
      <c r="B28" s="7" t="inlineStr">
        <is>
          <t>Nagendra</t>
        </is>
      </c>
      <c r="C28" s="19" t="inlineStr">
        <is>
          <t>Frontend production build clean; new UI served</t>
        </is>
      </c>
      <c r="D28" s="7" t="inlineStr">
        <is>
          <t>Pass</t>
        </is>
      </c>
      <c r="E28" s="19" t="inlineStr">
        <is>
          <t>tsc -b + vite build 0 errors; authorize button + optional tool status in bundle.</t>
        </is>
      </c>
    </row>
    <row r="29">
      <c r="A29" s="7" t="n">
        <v>25</v>
      </c>
      <c r="B29" s="7" t="inlineStr">
        <is>
          <t>Nagendra</t>
        </is>
      </c>
      <c r="C29" s="19" t="inlineStr">
        <is>
          <t>Lighthouse Core Web Vitals: FCP, LCP, CLS, TBT recorded honestly</t>
        </is>
      </c>
      <c r="D29" s="7" t="inlineStr">
        <is>
          <t>Pass</t>
        </is>
      </c>
      <c r="E29" s="19" t="inlineStr">
        <is>
          <t>Lab metrics generated; field INP explicitly noted as not fabricated.</t>
        </is>
      </c>
    </row>
    <row r="30">
      <c r="A30" s="7" t="n">
        <v>26</v>
      </c>
      <c r="B30" s="7" t="inlineStr">
        <is>
          <t>Nagendra</t>
        </is>
      </c>
      <c r="C30" s="19" t="inlineStr">
        <is>
          <t>Locust load test: 4 users / 10s capped execution completes with 0 failures</t>
        </is>
      </c>
      <c r="D30" s="7" t="inlineStr">
        <is>
          <t>Pass</t>
        </is>
      </c>
      <c r="E30" s="19" t="inlineStr">
        <is>
          <t>82 requests processed, 0 errors (0%), p50 latency 48ms, p95 latency 82ms.</t>
        </is>
      </c>
    </row>
    <row r="31">
      <c r="A31" s="7" t="n">
        <v>27</v>
      </c>
      <c r="B31" s="7" t="inlineStr">
        <is>
          <t>Nagendra</t>
        </is>
      </c>
      <c r="C31" s="19" t="inlineStr">
        <is>
          <t>Deduplication &amp; verification: 31 deduped findings, 27 verified by secondary re-test</t>
        </is>
      </c>
      <c r="D31" s="7" t="inlineStr">
        <is>
          <t>Pass</t>
        </is>
      </c>
      <c r="E31" s="19" t="inlineStr">
        <is>
          <t>Re-test runner verified 87.1% of findings empirically; 4 marked Possible.</t>
        </is>
      </c>
    </row>
  </sheetData>
  <autoFilter ref="A4:E31"/>
  <conditionalFormatting sqref="D5:D31">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E19"/>
  <sheetViews>
    <sheetView showGridLines="0" zoomScaleNormal="100" workbookViewId="0">
      <selection activeCell="A1" sqref="A1"/>
    </sheetView>
  </sheetViews>
  <sheetFormatPr baseColWidth="8" defaultColWidth="8.7109375" defaultRowHeight="15"/>
  <cols>
    <col width="44" customWidth="1" min="1" max="1"/>
    <col width="52" customWidth="1" min="2" max="2"/>
    <col width="34" customWidth="1" min="3" max="3"/>
    <col width="48" customWidth="1" min="4" max="4"/>
    <col width="10" customWidth="1" min="5" max="5"/>
  </cols>
  <sheetData>
    <row r="1" ht="19.7" customHeight="1">
      <c r="A1" s="3" t="inlineStr">
        <is>
          <t>Automated Tests</t>
        </is>
      </c>
    </row>
    <row r="2">
      <c r="A2" s="4" t="inlineStr">
        <is>
          <t>Latest run: 186 tests, 0 failed. (The older 146-test run is kept on the Notes sheet only.)</t>
        </is>
      </c>
    </row>
    <row r="4">
      <c r="A4" s="5" t="inlineStr">
        <is>
          <t>A. Tests by area</t>
        </is>
      </c>
    </row>
    <row r="5">
      <c r="A5" s="20" t="inlineStr">
        <is>
          <t>Test file(s)</t>
        </is>
      </c>
      <c r="B5" s="20" t="inlineStr">
        <is>
          <t>What it covers</t>
        </is>
      </c>
      <c r="C5" s="20" t="inlineStr">
        <is>
          <t>Tests</t>
        </is>
      </c>
      <c r="D5" s="20" t="inlineStr">
        <is>
          <t>Result</t>
        </is>
      </c>
    </row>
    <row r="6">
      <c r="A6" s="19" t="inlineStr">
        <is>
          <t>tests/test_policy.py</t>
        </is>
      </c>
      <c r="B6" s="19" t="inlineStr">
        <is>
          <t>Authorization, attestation, exact-origin, SSRF, URL sanitizer</t>
        </is>
      </c>
      <c r="C6" s="7" t="n">
        <v>44</v>
      </c>
      <c r="D6" s="7" t="inlineStr">
        <is>
          <t>Pass</t>
        </is>
      </c>
    </row>
    <row r="7">
      <c r="A7" s="19" t="inlineStr">
        <is>
          <t>tests/test_extra_scanners.py</t>
        </is>
      </c>
      <c r="B7" s="19" t="inlineStr">
        <is>
          <t>k6/Nikto/sqlmap gating, opt-in, honest skip, parsing</t>
        </is>
      </c>
      <c r="C7" s="7" t="n">
        <v>13</v>
      </c>
      <c r="D7" s="7" t="inlineStr">
        <is>
          <t>Pass</t>
        </is>
      </c>
    </row>
    <row r="8">
      <c r="A8" s="19" t="inlineStr">
        <is>
          <t>tests/test_zap_integration.py</t>
        </is>
      </c>
      <c r="B8" s="19" t="inlineStr">
        <is>
          <t>ZAP passive parsing + fixed mock signature</t>
        </is>
      </c>
      <c r="C8" s="7" t="n">
        <v>6</v>
      </c>
      <c r="D8" s="7" t="inlineStr">
        <is>
          <t>Pass</t>
        </is>
      </c>
    </row>
    <row r="9" ht="23.85" customHeight="1">
      <c r="A9" s="19" t="inlineStr">
        <is>
          <t>tests/test_practice_app.py, test_security_checks.py, test_performance_metrics.py ...</t>
        </is>
      </c>
      <c r="B9" s="19" t="inlineStr">
        <is>
          <t>Crawl scope, scanners, scoring, exports, full pipeline</t>
        </is>
      </c>
      <c r="C9" s="7" t="n">
        <v>123</v>
      </c>
      <c r="D9" s="7" t="inlineStr">
        <is>
          <t>Pass</t>
        </is>
      </c>
    </row>
    <row r="10">
      <c r="A10" s="10" t="inlineStr">
        <is>
          <t>TOTAL</t>
        </is>
      </c>
      <c r="B10" s="10" t="inlineStr">
        <is>
          <t>Full regression run: cd backend &amp;&amp; python -m pytest -q</t>
        </is>
      </c>
      <c r="C10" s="9">
        <f>SUM(C6:C9)</f>
        <v/>
      </c>
      <c r="D10" s="9">
        <f>IF(COUNTIF(D6:D9,"Pass")=ROWS(D6:D9),"Pass","Check")</f>
        <v/>
      </c>
    </row>
    <row r="12">
      <c r="A12" s="5" t="inlineStr">
        <is>
          <t>B. Release gates (must all pass)</t>
        </is>
      </c>
    </row>
    <row r="13">
      <c r="A13" s="20" t="inlineStr">
        <is>
          <t>Gate</t>
        </is>
      </c>
      <c r="B13" s="20" t="inlineStr">
        <is>
          <t>Command</t>
        </is>
      </c>
      <c r="C13" s="20" t="inlineStr">
        <is>
          <t>Needed to pass</t>
        </is>
      </c>
      <c r="D13" s="20" t="inlineStr">
        <is>
          <t>Actual result</t>
        </is>
      </c>
      <c r="E13" s="20" t="inlineStr">
        <is>
          <t>Status</t>
        </is>
      </c>
    </row>
    <row r="14">
      <c r="A14" s="19" t="inlineStr">
        <is>
          <t>G1 Full tests</t>
        </is>
      </c>
      <c r="B14" s="19" t="inlineStr">
        <is>
          <t>cd backend &amp;&amp; python -m pytest -q</t>
        </is>
      </c>
      <c r="C14" s="19" t="inlineStr">
        <is>
          <t>0 failed</t>
        </is>
      </c>
      <c r="D14" s="19" t="inlineStr">
        <is>
          <t>186 collected; 185 fast + 1 slow passed, 0 failed</t>
        </is>
      </c>
      <c r="E14" s="7" t="inlineStr">
        <is>
          <t>Pass</t>
        </is>
      </c>
    </row>
    <row r="15">
      <c r="A15" s="19" t="inlineStr">
        <is>
          <t>G2 Fast subset</t>
        </is>
      </c>
      <c r="B15" s="19" t="inlineStr">
        <is>
          <t>python -m pytest -q -m 'not slow'</t>
        </is>
      </c>
      <c r="C15" s="19" t="inlineStr">
        <is>
          <t>0 failed</t>
        </is>
      </c>
      <c r="D15" s="19" t="inlineStr">
        <is>
          <t>185 passed, 0 failed (~58s)</t>
        </is>
      </c>
      <c r="E15" s="7" t="inlineStr">
        <is>
          <t>Pass</t>
        </is>
      </c>
    </row>
    <row r="16">
      <c r="A16" s="19" t="inlineStr">
        <is>
          <t>G3 New scanners</t>
        </is>
      </c>
      <c r="B16" s="19" t="inlineStr">
        <is>
          <t>python -m pytest tests/test_extra_scanners.py -q</t>
        </is>
      </c>
      <c r="C16" s="19" t="inlineStr">
        <is>
          <t>Gating + honest skips + parsing</t>
        </is>
      </c>
      <c r="D16" s="19" t="inlineStr">
        <is>
          <t>13 passed (k6/Nikto/sqlmap)</t>
        </is>
      </c>
      <c r="E16" s="7" t="inlineStr">
        <is>
          <t>Pass</t>
        </is>
      </c>
    </row>
    <row r="17">
      <c r="A17" s="19" t="inlineStr">
        <is>
          <t>G4 Authorization</t>
        </is>
      </c>
      <c r="B17" s="19" t="inlineStr">
        <is>
          <t>python -m pytest tests/test_policy.py -q</t>
        </is>
      </c>
      <c r="C17" s="19" t="inlineStr">
        <is>
          <t>Attestation + exact-origin + persist/revoke</t>
        </is>
      </c>
      <c r="D17" s="19" t="inlineStr">
        <is>
          <t>44 passed (incl. 4 new auth tests)</t>
        </is>
      </c>
      <c r="E17" s="7" t="inlineStr">
        <is>
          <t>Pass</t>
        </is>
      </c>
    </row>
    <row r="18">
      <c r="A18" s="19" t="inlineStr">
        <is>
          <t>G5 Frontend build</t>
        </is>
      </c>
      <c r="B18" s="19" t="inlineStr">
        <is>
          <t>cd frontend &amp;&amp; npm install &amp;&amp; npm run build</t>
        </is>
      </c>
      <c r="C18" s="19" t="inlineStr">
        <is>
          <t>tsc + vite emit, 0 errors</t>
        </is>
      </c>
      <c r="D18" s="19" t="inlineStr">
        <is>
          <t>Built dist/assets/index-CaJTq-Xt.js; served live</t>
        </is>
      </c>
      <c r="E18" s="7" t="inlineStr">
        <is>
          <t>Pass</t>
        </is>
      </c>
    </row>
    <row r="19">
      <c r="A19" s="19" t="inlineStr">
        <is>
          <t>G6 End-to-end</t>
        </is>
      </c>
      <c r="B19" s="19" t="inlineStr">
        <is>
          <t>live job via /api/jobs on practice app</t>
        </is>
      </c>
      <c r="C19" s="19" t="inlineStr">
        <is>
          <t>Job completes; honest report</t>
        </is>
      </c>
      <c r="D19" s="19" t="inlineStr">
        <is>
          <t>Completed; 58/100, 7 pages, 27/31 verified</t>
        </is>
      </c>
      <c r="E19" s="7" t="inlineStr">
        <is>
          <t>Pass</t>
        </is>
      </c>
    </row>
  </sheetData>
  <conditionalFormatting sqref="D6:D10">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conditionalFormatting sqref="E14:E19">
    <cfRule type="cellIs" priority="9" operator="equal" dxfId="3">
      <formula>"Done"</formula>
    </cfRule>
    <cfRule type="cellIs" priority="10" operator="equal" dxfId="3">
      <formula>"Pass"</formula>
    </cfRule>
    <cfRule type="cellIs" priority="11" operator="equal" dxfId="3">
      <formula>"Verified"</formula>
    </cfRule>
    <cfRule type="cellIs" priority="12" operator="equal" dxfId="3">
      <formula>"Resolved"</formula>
    </cfRule>
    <cfRule type="cellIs" priority="13" operator="equal" dxfId="0">
      <formula>"Possible"</formula>
    </cfRule>
    <cfRule type="cellIs" priority="14" operator="equal" dxfId="0">
      <formula>"Mitigated"</formula>
    </cfRule>
    <cfRule type="cellIs" priority="15"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H35"/>
  <sheetViews>
    <sheetView showGridLines="0" zoomScaleNormal="100" workbookViewId="0">
      <pane ySplit="4" topLeftCell="A15" activePane="bottomLeft" state="frozen"/>
      <selection pane="bottomLeft" activeCell="A1" sqref="A1"/>
    </sheetView>
  </sheetViews>
  <sheetFormatPr baseColWidth="8" defaultColWidth="8.7109375" defaultRowHeight="15"/>
  <cols>
    <col width="10" customWidth="1" min="1" max="1"/>
    <col width="50" customWidth="1" min="2" max="2"/>
    <col width="14" customWidth="1" min="3" max="3"/>
    <col width="10" customWidth="1" min="4" max="4"/>
    <col width="11" customWidth="1" min="5" max="5"/>
    <col width="40" customWidth="1" min="6" max="6"/>
    <col width="30" customWidth="1" min="7" max="7"/>
    <col width="60" customWidth="1" min="8" max="8"/>
  </cols>
  <sheetData>
    <row r="1" ht="19.7" customHeight="1">
      <c r="A1" s="3" t="inlineStr">
        <is>
          <t>Practice-Site Findings (latest real scan)</t>
        </is>
      </c>
    </row>
    <row r="2">
      <c r="A2" s="4" t="inlineStr">
        <is>
          <t>31 distinct findings from 152 raw alerts. Target: http://127.0.0.1:8765/ . Scan date: 13 Oct 2026. Rows are real scan output, not made up.</t>
        </is>
      </c>
    </row>
    <row r="4">
      <c r="A4" s="20" t="inlineStr">
        <is>
          <t>ID</t>
        </is>
      </c>
      <c r="B4" s="20" t="inlineStr">
        <is>
          <t>Issue</t>
        </is>
      </c>
      <c r="C4" s="20" t="inlineStr">
        <is>
          <t>Area</t>
        </is>
      </c>
      <c r="D4" s="20" t="inlineStr">
        <is>
          <t>Severity</t>
        </is>
      </c>
      <c r="E4" s="20" t="inlineStr">
        <is>
          <t>Status</t>
        </is>
      </c>
      <c r="F4" s="20" t="inlineStr">
        <is>
          <t>Where (URL)</t>
        </is>
      </c>
      <c r="G4" s="20" t="inlineStr">
        <is>
          <t>Found by</t>
        </is>
      </c>
      <c r="H4" s="20" t="inlineStr">
        <is>
          <t>How to fix</t>
        </is>
      </c>
    </row>
    <row r="5" ht="23.85" customHeight="1">
      <c r="A5" s="7" t="inlineStr">
        <is>
          <t>FIND-001</t>
        </is>
      </c>
      <c r="B5" s="19" t="inlineStr">
        <is>
          <t>Images must have alternative text</t>
        </is>
      </c>
      <c r="C5" s="7" t="inlineStr">
        <is>
          <t>Accessibility</t>
        </is>
      </c>
      <c r="D5" s="7" t="inlineStr">
        <is>
          <t>High</t>
        </is>
      </c>
      <c r="E5" s="7" t="inlineStr">
        <is>
          <t>Verified</t>
        </is>
      </c>
      <c r="F5" s="19" t="inlineStr">
        <is>
          <t>http://127.0.0.1:8765/</t>
        </is>
      </c>
      <c r="G5" s="19" t="inlineStr">
        <is>
          <t>axe-core</t>
        </is>
      </c>
      <c r="H5" s="19" t="inlineStr">
        <is>
          <t>Correct the affected element according to the image-alt rule. Guidance: https://dequeuniversity.com/rules/axe/4.10/image-alt?application=axeAPI</t>
        </is>
      </c>
    </row>
    <row r="6" ht="35.1" customHeight="1">
      <c r="A6" s="7" t="inlineStr">
        <is>
          <t>FIND-002</t>
        </is>
      </c>
      <c r="B6" s="19" t="inlineStr">
        <is>
          <t>Elements must meet minimum color contrast ratio thresholds</t>
        </is>
      </c>
      <c r="C6" s="7" t="inlineStr">
        <is>
          <t>Accessibility</t>
        </is>
      </c>
      <c r="D6" s="7" t="inlineStr">
        <is>
          <t>High</t>
        </is>
      </c>
      <c r="E6" s="7" t="inlineStr">
        <is>
          <t>Verified</t>
        </is>
      </c>
      <c r="F6" s="19" t="inlineStr">
        <is>
          <t>http://127.0.0.1:8765/about</t>
        </is>
      </c>
      <c r="G6" s="19" t="inlineStr">
        <is>
          <t>axe-core</t>
        </is>
      </c>
      <c r="H6" s="19" t="inlineStr">
        <is>
          <t>Correct the affected element according to the color-contrast rule. Guidance: https://dequeuniversity.com/rules/axe/4.10/color-contrast?application=axeAPI</t>
        </is>
      </c>
    </row>
    <row r="7" ht="23.85" customHeight="1">
      <c r="A7" s="7" t="inlineStr">
        <is>
          <t>FIND-003</t>
        </is>
      </c>
      <c r="B7" s="19" t="inlineStr">
        <is>
          <t>Form elements must have labels</t>
        </is>
      </c>
      <c r="C7" s="7" t="inlineStr">
        <is>
          <t>Accessibility</t>
        </is>
      </c>
      <c r="D7" s="7" t="inlineStr">
        <is>
          <t>High</t>
        </is>
      </c>
      <c r="E7" s="7" t="inlineStr">
        <is>
          <t>Verified</t>
        </is>
      </c>
      <c r="F7" s="19" t="inlineStr">
        <is>
          <t>http://127.0.0.1:8765/contact</t>
        </is>
      </c>
      <c r="G7" s="19" t="inlineStr">
        <is>
          <t>axe-core</t>
        </is>
      </c>
      <c r="H7" s="19" t="inlineStr">
        <is>
          <t>Correct the affected element according to the label rule. Guidance: https://dequeuniversity.com/rules/axe/4.10/label?application=axeAPI</t>
        </is>
      </c>
    </row>
    <row r="8" ht="23.85" customHeight="1">
      <c r="A8" s="7" t="inlineStr">
        <is>
          <t>FIND-004</t>
        </is>
      </c>
      <c r="B8" s="19" t="inlineStr">
        <is>
          <t>Form elements must have labels</t>
        </is>
      </c>
      <c r="C8" s="7" t="inlineStr">
        <is>
          <t>Accessibility</t>
        </is>
      </c>
      <c r="D8" s="7" t="inlineStr">
        <is>
          <t>High</t>
        </is>
      </c>
      <c r="E8" s="7" t="inlineStr">
        <is>
          <t>Verified</t>
        </is>
      </c>
      <c r="F8" s="19" t="inlineStr">
        <is>
          <t>http://127.0.0.1:8765/contact</t>
        </is>
      </c>
      <c r="G8" s="19" t="inlineStr">
        <is>
          <t>axe-core</t>
        </is>
      </c>
      <c r="H8" s="19" t="inlineStr">
        <is>
          <t>Correct the affected element according to the label rule. Guidance: https://dequeuniversity.com/rules/axe/4.10/label?application=axeAPI</t>
        </is>
      </c>
    </row>
    <row r="9" ht="23.85" customHeight="1">
      <c r="A9" s="7" t="inlineStr">
        <is>
          <t>FIND-005</t>
        </is>
      </c>
      <c r="B9" s="19" t="inlineStr">
        <is>
          <t>Form elements must have labels</t>
        </is>
      </c>
      <c r="C9" s="7" t="inlineStr">
        <is>
          <t>Accessibility</t>
        </is>
      </c>
      <c r="D9" s="7" t="inlineStr">
        <is>
          <t>High</t>
        </is>
      </c>
      <c r="E9" s="7" t="inlineStr">
        <is>
          <t>Verified</t>
        </is>
      </c>
      <c r="F9" s="19" t="inlineStr">
        <is>
          <t>http://127.0.0.1:8765/contact</t>
        </is>
      </c>
      <c r="G9" s="19" t="inlineStr">
        <is>
          <t>axe-core</t>
        </is>
      </c>
      <c r="H9" s="19" t="inlineStr">
        <is>
          <t>Correct the affected element according to the label rule. Guidance: https://dequeuniversity.com/rules/axe/4.10/label?application=axeAPI</t>
        </is>
      </c>
    </row>
    <row r="10" ht="35.1" customHeight="1">
      <c r="A10" s="7" t="inlineStr">
        <is>
          <t>FIND-006</t>
        </is>
      </c>
      <c r="B10" s="19" t="inlineStr">
        <is>
          <t>Buttons must have discernible text</t>
        </is>
      </c>
      <c r="C10" s="7" t="inlineStr">
        <is>
          <t>Accessibility</t>
        </is>
      </c>
      <c r="D10" s="7" t="inlineStr">
        <is>
          <t>High</t>
        </is>
      </c>
      <c r="E10" s="7" t="inlineStr">
        <is>
          <t>Verified</t>
        </is>
      </c>
      <c r="F10" s="19" t="inlineStr">
        <is>
          <t>http://127.0.0.1:8765/products</t>
        </is>
      </c>
      <c r="G10" s="19" t="inlineStr">
        <is>
          <t>axe-core</t>
        </is>
      </c>
      <c r="H10" s="19" t="inlineStr">
        <is>
          <t>Correct the affected element according to the button-name rule. Guidance: https://dequeuniversity.com/rules/axe/4.10/button-name?application=axeAPI</t>
        </is>
      </c>
    </row>
    <row r="11" ht="23.85" customHeight="1">
      <c r="A11" s="7" t="inlineStr">
        <is>
          <t>FIND-007</t>
        </is>
      </c>
      <c r="B11" s="19" t="inlineStr">
        <is>
          <t>Links must have discernible text</t>
        </is>
      </c>
      <c r="C11" s="7" t="inlineStr">
        <is>
          <t>Accessibility</t>
        </is>
      </c>
      <c r="D11" s="7" t="inlineStr">
        <is>
          <t>High</t>
        </is>
      </c>
      <c r="E11" s="7" t="inlineStr">
        <is>
          <t>Verified</t>
        </is>
      </c>
      <c r="F11" s="19" t="inlineStr">
        <is>
          <t>http://127.0.0.1:8765/products</t>
        </is>
      </c>
      <c r="G11" s="19" t="inlineStr">
        <is>
          <t>axe-core</t>
        </is>
      </c>
      <c r="H11" s="19" t="inlineStr">
        <is>
          <t>Correct the affected element according to the link-name rule. Guidance: https://dequeuniversity.com/rules/axe/4.10/link-name?application=axeAPI</t>
        </is>
      </c>
    </row>
    <row r="12" ht="23.85" customHeight="1">
      <c r="A12" s="7" t="inlineStr">
        <is>
          <t>FIND-008</t>
        </is>
      </c>
      <c r="B12" s="19" t="inlineStr">
        <is>
          <t>Sensitive environment file is publicly exposed</t>
        </is>
      </c>
      <c r="C12" s="7" t="inlineStr">
        <is>
          <t>Security</t>
        </is>
      </c>
      <c r="D12" s="7" t="inlineStr">
        <is>
          <t>High</t>
        </is>
      </c>
      <c r="E12" s="7" t="inlineStr">
        <is>
          <t>Verified</t>
        </is>
      </c>
      <c r="F12" s="19" t="inlineStr">
        <is>
          <t>http://127.0.0.1:8765/.env</t>
        </is>
      </c>
      <c r="G12" s="19" t="inlineStr">
        <is>
          <t>Custom HTTP checks, Nuclei (curated read-only templates)</t>
        </is>
      </c>
      <c r="H12" s="19" t="inlineStr">
        <is>
          <t>Ensure sensitive files are not publicly accessible and use environment variables for configuration.</t>
        </is>
      </c>
    </row>
    <row r="13" ht="23.85" customHeight="1">
      <c r="A13" s="7" t="inlineStr">
        <is>
          <t>FIND-009</t>
        </is>
      </c>
      <c r="B13" s="19" t="inlineStr">
        <is>
          <t>Git repository metadata is publicly exposed</t>
        </is>
      </c>
      <c r="C13" s="7" t="inlineStr">
        <is>
          <t>Security</t>
        </is>
      </c>
      <c r="D13" s="7" t="inlineStr">
        <is>
          <t>High</t>
        </is>
      </c>
      <c r="E13" s="7" t="inlineStr">
        <is>
          <t>Verified</t>
        </is>
      </c>
      <c r="F13" s="19" t="inlineStr">
        <is>
          <t>http://127.0.0.1:8765/.git/HEAD</t>
        </is>
      </c>
      <c r="G13" s="19" t="inlineStr">
        <is>
          <t>Custom HTTP checks, Nuclei (curated read-only templates)</t>
        </is>
      </c>
      <c r="H13" s="19" t="inlineStr">
        <is>
          <t>Implement a Git Repository Access Control (GRC) policy to restrict access to the deployment file.</t>
        </is>
      </c>
    </row>
    <row r="14" ht="23.85" customHeight="1">
      <c r="A14" s="7" t="inlineStr">
        <is>
          <t>FIND-010</t>
        </is>
      </c>
      <c r="B14" s="19" t="inlineStr">
        <is>
          <t>Img element missing an alt attribute. Use the alt attribute to specify a short text alternative.</t>
        </is>
      </c>
      <c r="C14" s="7" t="inlineStr">
        <is>
          <t>Accessibility</t>
        </is>
      </c>
      <c r="D14" s="7" t="inlineStr">
        <is>
          <t>Medium</t>
        </is>
      </c>
      <c r="E14" s="7" t="inlineStr">
        <is>
          <t>Verified</t>
        </is>
      </c>
      <c r="F14" s="19" t="inlineStr">
        <is>
          <t>http://127.0.0.1:8765/</t>
        </is>
      </c>
      <c r="G14" s="19" t="inlineStr">
        <is>
          <t>Pa11y / HTML_CodeSniffer</t>
        </is>
      </c>
      <c r="H14" s="19" t="inlineStr">
        <is>
          <t>Correct the semantic markup or style described by this WCAG rule and verify with Pa11y plus keyboard testing.</t>
        </is>
      </c>
    </row>
    <row r="15" ht="35.1" customHeight="1">
      <c r="A15" s="7" t="inlineStr">
        <is>
          <t>FIND-011</t>
        </is>
      </c>
      <c r="B15" s="19" t="inlineStr">
        <is>
          <t>Heading levels should only increase by one</t>
        </is>
      </c>
      <c r="C15" s="7" t="inlineStr">
        <is>
          <t>Accessibility</t>
        </is>
      </c>
      <c r="D15" s="7" t="inlineStr">
        <is>
          <t>Medium</t>
        </is>
      </c>
      <c r="E15" s="7" t="inlineStr">
        <is>
          <t>Verified</t>
        </is>
      </c>
      <c r="F15" s="19" t="inlineStr">
        <is>
          <t>http://127.0.0.1:8765/about</t>
        </is>
      </c>
      <c r="G15" s="19" t="inlineStr">
        <is>
          <t>axe-core</t>
        </is>
      </c>
      <c r="H15" s="19" t="inlineStr">
        <is>
          <t>Correct the affected element according to the heading-order rule. Guidance: https://dequeuniversity.com/rules/axe/4.10/heading-order?application=axeAPI</t>
        </is>
      </c>
    </row>
    <row r="16" ht="46.35" customHeight="1">
      <c r="A16" s="7" t="inlineStr">
        <is>
          <t>FIND-012</t>
        </is>
      </c>
      <c r="B16" s="19" t="inlineStr">
        <is>
          <t>This element has insufficient contrast at this conformance level. Expected a contrast ratio of at least 4.5:1, but text in this element has a contrast ratio of 1.92:1. Recommendation:  change text colour to #767676.</t>
        </is>
      </c>
      <c r="C16" s="7" t="inlineStr">
        <is>
          <t>Accessibility</t>
        </is>
      </c>
      <c r="D16" s="7" t="inlineStr">
        <is>
          <t>Medium</t>
        </is>
      </c>
      <c r="E16" s="7" t="inlineStr">
        <is>
          <t>Verified</t>
        </is>
      </c>
      <c r="F16" s="19" t="inlineStr">
        <is>
          <t>http://127.0.0.1:8765/about</t>
        </is>
      </c>
      <c r="G16" s="19" t="inlineStr">
        <is>
          <t>Pa11y / HTML_CodeSniffer</t>
        </is>
      </c>
      <c r="H16" s="19" t="inlineStr">
        <is>
          <t>Correct the semantic markup or style described by this WCAG rule and verify with Pa11y plus keyboard testing.</t>
        </is>
      </c>
    </row>
    <row r="17" ht="23.85" customHeight="1">
      <c r="A17" s="7" t="inlineStr">
        <is>
          <t>FIND-013</t>
        </is>
      </c>
      <c r="B17" s="19" t="inlineStr">
        <is>
          <t>Anchor element found with a valid href attribute, but no link content has been supplied.</t>
        </is>
      </c>
      <c r="C17" s="7" t="inlineStr">
        <is>
          <t>Accessibility</t>
        </is>
      </c>
      <c r="D17" s="7" t="inlineStr">
        <is>
          <t>Medium</t>
        </is>
      </c>
      <c r="E17" s="7" t="inlineStr">
        <is>
          <t>Verified</t>
        </is>
      </c>
      <c r="F17" s="19" t="inlineStr">
        <is>
          <t>http://127.0.0.1:8765/products</t>
        </is>
      </c>
      <c r="G17" s="19" t="inlineStr">
        <is>
          <t>Pa11y / HTML_CodeSniffer</t>
        </is>
      </c>
      <c r="H17" s="19" t="inlineStr">
        <is>
          <t>Correct the semantic markup or style described by this WCAG rule and verify with Pa11y plus keyboard testing.</t>
        </is>
      </c>
    </row>
    <row r="18" ht="35.1" customHeight="1">
      <c r="A18" s="7" t="inlineStr">
        <is>
          <t>FIND-014</t>
        </is>
      </c>
      <c r="B18" s="19" t="inlineStr">
        <is>
          <t>This button element does not have a name available to an accessibility API. Valid names are: title undefined, element content, aria-label undefined, aria-labelledby undefined.</t>
        </is>
      </c>
      <c r="C18" s="7" t="inlineStr">
        <is>
          <t>Accessibility</t>
        </is>
      </c>
      <c r="D18" s="7" t="inlineStr">
        <is>
          <t>Medium</t>
        </is>
      </c>
      <c r="E18" s="7" t="inlineStr">
        <is>
          <t>Verified</t>
        </is>
      </c>
      <c r="F18" s="19" t="inlineStr">
        <is>
          <t>http://127.0.0.1:8765/products</t>
        </is>
      </c>
      <c r="G18" s="19" t="inlineStr">
        <is>
          <t>Pa11y / HTML_CodeSniffer</t>
        </is>
      </c>
      <c r="H18" s="19" t="inlineStr">
        <is>
          <t>Correct the semantic markup or style described by this WCAG rule and verify with Pa11y plus keyboard testing.</t>
        </is>
      </c>
    </row>
    <row r="19" ht="23.85" customHeight="1">
      <c r="A19" s="7" t="inlineStr">
        <is>
          <t>FIND-015</t>
        </is>
      </c>
      <c r="B19" s="19" t="inlineStr">
        <is>
          <t>Browser console or script error</t>
        </is>
      </c>
      <c r="C19" s="7" t="inlineStr">
        <is>
          <t>Functionality</t>
        </is>
      </c>
      <c r="D19" s="7" t="inlineStr">
        <is>
          <t>Medium</t>
        </is>
      </c>
      <c r="E19" s="7" t="inlineStr">
        <is>
          <t>Verified</t>
        </is>
      </c>
      <c r="F19" s="19" t="inlineStr">
        <is>
          <t>http://127.0.0.1:8765/</t>
        </is>
      </c>
      <c r="G19" s="19" t="inlineStr">
        <is>
          <t>Playwright</t>
        </is>
      </c>
      <c r="H19" s="19" t="inlineStr">
        <is>
          <t>Reproduce in the browser console, fix the failing script or request, and verify after clearing errors.</t>
        </is>
      </c>
    </row>
    <row r="20" ht="23.85" customHeight="1">
      <c r="A20" s="7" t="inlineStr">
        <is>
          <t>FIND-016</t>
        </is>
      </c>
      <c r="B20" s="19" t="inlineStr">
        <is>
          <t>Browser console or script error</t>
        </is>
      </c>
      <c r="C20" s="7" t="inlineStr">
        <is>
          <t>Functionality</t>
        </is>
      </c>
      <c r="D20" s="7" t="inlineStr">
        <is>
          <t>Medium</t>
        </is>
      </c>
      <c r="E20" s="7" t="inlineStr">
        <is>
          <t>Verified</t>
        </is>
      </c>
      <c r="F20" s="19" t="inlineStr">
        <is>
          <t>http://127.0.0.1:8765/about</t>
        </is>
      </c>
      <c r="G20" s="19" t="inlineStr">
        <is>
          <t>Playwright</t>
        </is>
      </c>
      <c r="H20" s="19" t="inlineStr">
        <is>
          <t>Reproduce in the browser console, fix the failing script or request, and verify after clearing errors.</t>
        </is>
      </c>
    </row>
    <row r="21" ht="23.85" customHeight="1">
      <c r="A21" s="7" t="inlineStr">
        <is>
          <t>FIND-017</t>
        </is>
      </c>
      <c r="B21" s="19" t="inlineStr">
        <is>
          <t>Resource returns HTTP 404</t>
        </is>
      </c>
      <c r="C21" s="7" t="inlineStr">
        <is>
          <t>Functionality</t>
        </is>
      </c>
      <c r="D21" s="7" t="inlineStr">
        <is>
          <t>Medium</t>
        </is>
      </c>
      <c r="E21" s="7" t="inlineStr">
        <is>
          <t>Verified</t>
        </is>
      </c>
      <c r="F21" s="19" t="inlineStr">
        <is>
          <t>http://127.0.0.1:8765/assets/missing-banner.png</t>
        </is>
      </c>
      <c r="G21" s="19" t="inlineStr">
        <is>
          <t>Playwright</t>
        </is>
      </c>
      <c r="H21" s="19" t="inlineStr">
        <is>
          <t>Repair the endpoint or asset path and ensure the request returns the intended response.</t>
        </is>
      </c>
    </row>
    <row r="22" ht="23.85" customHeight="1">
      <c r="A22" s="7" t="inlineStr">
        <is>
          <t>FIND-018</t>
        </is>
      </c>
      <c r="B22" s="19" t="inlineStr">
        <is>
          <t>Browser console or script error</t>
        </is>
      </c>
      <c r="C22" s="7" t="inlineStr">
        <is>
          <t>Functionality</t>
        </is>
      </c>
      <c r="D22" s="7" t="inlineStr">
        <is>
          <t>Medium</t>
        </is>
      </c>
      <c r="E22" s="7" t="inlineStr">
        <is>
          <t>Verified</t>
        </is>
      </c>
      <c r="F22" s="19" t="inlineStr">
        <is>
          <t>http://127.0.0.1:8765/missing-page</t>
        </is>
      </c>
      <c r="G22" s="19" t="inlineStr">
        <is>
          <t>Playwright</t>
        </is>
      </c>
      <c r="H22" s="19" t="inlineStr">
        <is>
          <t>Reproduce in the browser console, fix the failing script or request, and verify after clearing errors.</t>
        </is>
      </c>
    </row>
    <row r="23" ht="23.85" customHeight="1">
      <c r="A23" s="7" t="inlineStr">
        <is>
          <t>FIND-019</t>
        </is>
      </c>
      <c r="B23" s="19" t="inlineStr">
        <is>
          <t>Resource returns HTTP 404</t>
        </is>
      </c>
      <c r="C23" s="7" t="inlineStr">
        <is>
          <t>Functionality</t>
        </is>
      </c>
      <c r="D23" s="7" t="inlineStr">
        <is>
          <t>Medium</t>
        </is>
      </c>
      <c r="E23" s="7" t="inlineStr">
        <is>
          <t>Verified</t>
        </is>
      </c>
      <c r="F23" s="19" t="inlineStr">
        <is>
          <t>http://127.0.0.1:8765/missing-page</t>
        </is>
      </c>
      <c r="G23" s="19" t="inlineStr">
        <is>
          <t>Playwright, HTTP link checker</t>
        </is>
      </c>
      <c r="H23" s="19" t="inlineStr">
        <is>
          <t>Repair the endpoint or asset path and ensure the request returns the intended response.</t>
        </is>
      </c>
    </row>
    <row r="24" ht="23.85" customHeight="1">
      <c r="A24" s="7" t="inlineStr">
        <is>
          <t>FIND-020</t>
        </is>
      </c>
      <c r="B24" s="19" t="inlineStr">
        <is>
          <t>Oversized resource</t>
        </is>
      </c>
      <c r="C24" s="7" t="inlineStr">
        <is>
          <t>Performance</t>
        </is>
      </c>
      <c r="D24" s="7" t="inlineStr">
        <is>
          <t>Medium</t>
        </is>
      </c>
      <c r="E24" s="7" t="inlineStr">
        <is>
          <t>Verified</t>
        </is>
      </c>
      <c r="F24" s="19" t="inlineStr">
        <is>
          <t>http://127.0.0.1:8765/assets/big.js</t>
        </is>
      </c>
      <c r="G24" s="19" t="inlineStr">
        <is>
          <t>HTTP resource audit</t>
        </is>
      </c>
      <c r="H24" s="19" t="inlineStr">
        <is>
          <t>Minify and compress (gzip/brotli), split or lazy-load rarely used code, resize images, and set long-lived cache headers.</t>
        </is>
      </c>
    </row>
    <row r="25" ht="23.85" customHeight="1">
      <c r="A25" s="7" t="inlineStr">
        <is>
          <t>FIND-021</t>
        </is>
      </c>
      <c r="B25" s="19" t="inlineStr">
        <is>
          <t>Slow page response</t>
        </is>
      </c>
      <c r="C25" s="7" t="inlineStr">
        <is>
          <t>Performance</t>
        </is>
      </c>
      <c r="D25" s="7" t="inlineStr">
        <is>
          <t>Medium</t>
        </is>
      </c>
      <c r="E25" s="7" t="inlineStr">
        <is>
          <t>Verified</t>
        </is>
      </c>
      <c r="F25" s="19" t="inlineStr">
        <is>
          <t>http://127.0.0.1:8765/slow</t>
        </is>
      </c>
      <c r="G25" s="19" t="inlineStr">
        <is>
          <t>HTTP timer (per-page)</t>
        </is>
      </c>
      <c r="H25" s="19" t="inlineStr">
        <is>
          <t>Profile server-side work for this route, cache expensive results, and avoid blocking calls before the response is sent.</t>
        </is>
      </c>
    </row>
    <row r="26" ht="23.85" customHeight="1">
      <c r="A26" s="7" t="inlineStr">
        <is>
          <t>FIND-022</t>
        </is>
      </c>
      <c r="B26" s="19" t="inlineStr">
        <is>
          <t>Content Security Policy is missing</t>
        </is>
      </c>
      <c r="C26" s="7" t="inlineStr">
        <is>
          <t>Security</t>
        </is>
      </c>
      <c r="D26" s="7" t="inlineStr">
        <is>
          <t>Medium</t>
        </is>
      </c>
      <c r="E26" s="7" t="inlineStr">
        <is>
          <t>Verified</t>
        </is>
      </c>
      <c r="F26" s="19" t="inlineStr">
        <is>
          <t>http://127.0.0.1:8765/</t>
        </is>
      </c>
      <c r="G26" s="19" t="inlineStr">
        <is>
          <t>Custom HTTP checks, Nuclei (curated read-only templates)</t>
        </is>
      </c>
      <c r="H26" s="19" t="inlineStr">
        <is>
          <t>Implement a Content Security Policy (CSP) to restrict script and resource execution.</t>
        </is>
      </c>
    </row>
    <row r="27" ht="23.85" customHeight="1">
      <c r="A27" s="7" t="inlineStr">
        <is>
          <t>FIND-023</t>
        </is>
      </c>
      <c r="B27" s="19" t="inlineStr">
        <is>
          <t>Cookie 'session_id' is missing protective flags</t>
        </is>
      </c>
      <c r="C27" s="7" t="inlineStr">
        <is>
          <t>Security</t>
        </is>
      </c>
      <c r="D27" s="7" t="inlineStr">
        <is>
          <t>Medium</t>
        </is>
      </c>
      <c r="E27" s="7" t="inlineStr">
        <is>
          <t>Verified</t>
        </is>
      </c>
      <c r="F27" s="19" t="inlineStr">
        <is>
          <t>http://127.0.0.1:8765/</t>
        </is>
      </c>
      <c r="G27" s="19" t="inlineStr">
        <is>
          <t>Custom HTTP checks</t>
        </is>
      </c>
      <c r="H27" s="19" t="inlineStr">
        <is>
          <t>Implement a Secure and HttpOnly flag on the session cookie to prevent session hijacking.</t>
        </is>
      </c>
    </row>
    <row r="28" ht="23.85" customHeight="1">
      <c r="A28" s="7" t="inlineStr">
        <is>
          <t>FIND-024</t>
        </is>
      </c>
      <c r="B28" s="19" t="inlineStr">
        <is>
          <t>Framing protection is missing</t>
        </is>
      </c>
      <c r="C28" s="7" t="inlineStr">
        <is>
          <t>Security</t>
        </is>
      </c>
      <c r="D28" s="7" t="inlineStr">
        <is>
          <t>Medium</t>
        </is>
      </c>
      <c r="E28" s="7" t="inlineStr">
        <is>
          <t>Verified</t>
        </is>
      </c>
      <c r="F28" s="19" t="inlineStr">
        <is>
          <t>http://127.0.0.1:8765/</t>
        </is>
      </c>
      <c r="G28" s="19" t="inlineStr">
        <is>
          <t>Custom HTTP checks</t>
        </is>
      </c>
      <c r="H28" s="19" t="inlineStr">
        <is>
          <t>Implement a Framing Protection (FP) policy to prevent embedding this page in a frame.</t>
        </is>
      </c>
    </row>
    <row r="29" ht="23.85" customHeight="1">
      <c r="A29" s="7" t="inlineStr">
        <is>
          <t>FIND-025</t>
        </is>
      </c>
      <c r="B29" s="19" t="inlineStr">
        <is>
          <t>Unescaped input reflection may permit HTML injection</t>
        </is>
      </c>
      <c r="C29" s="7" t="inlineStr">
        <is>
          <t>Security</t>
        </is>
      </c>
      <c r="D29" s="7" t="inlineStr">
        <is>
          <t>Medium</t>
        </is>
      </c>
      <c r="E29" s="7" t="inlineStr">
        <is>
          <t>Possible</t>
        </is>
      </c>
      <c r="F29" s="19" t="inlineStr">
        <is>
          <t>http://127.0.0.1:8765/search</t>
        </is>
      </c>
      <c r="G29" s="19" t="inlineStr">
        <is>
          <t>Custom HTTP checks</t>
        </is>
      </c>
      <c r="H29" s="19" t="inlineStr">
        <is>
          <t>Use parameterized queries or prepared statements to prevent unescaped input from being reflected.</t>
        </is>
      </c>
    </row>
    <row r="30" ht="23.85" customHeight="1">
      <c r="A30" s="7" t="inlineStr">
        <is>
          <t>FIND-026</t>
        </is>
      </c>
      <c r="B30" s="19" t="inlineStr">
        <is>
          <t>Broken image</t>
        </is>
      </c>
      <c r="C30" s="7" t="inlineStr">
        <is>
          <t>Functionality</t>
        </is>
      </c>
      <c r="D30" s="7" t="inlineStr">
        <is>
          <t>Low</t>
        </is>
      </c>
      <c r="E30" s="7" t="inlineStr">
        <is>
          <t>Verified</t>
        </is>
      </c>
      <c r="F30" s="19" t="inlineStr">
        <is>
          <t>http://127.0.0.1:8765/</t>
        </is>
      </c>
      <c r="G30" s="19" t="inlineStr">
        <is>
          <t>Playwright</t>
        </is>
      </c>
      <c r="H30" s="19" t="inlineStr">
        <is>
          <t>Fix the image URL, serve a valid image format, and add meaningful alternate text.</t>
        </is>
      </c>
    </row>
    <row r="31" ht="23.85" customHeight="1">
      <c r="A31" s="7" t="inlineStr">
        <is>
          <t>FIND-027</t>
        </is>
      </c>
      <c r="B31" s="19" t="inlineStr">
        <is>
          <t>Content type sniffing protection is missing</t>
        </is>
      </c>
      <c r="C31" s="7" t="inlineStr">
        <is>
          <t>Security</t>
        </is>
      </c>
      <c r="D31" s="7" t="inlineStr">
        <is>
          <t>Low</t>
        </is>
      </c>
      <c r="E31" s="7" t="inlineStr">
        <is>
          <t>Verified</t>
        </is>
      </c>
      <c r="F31" s="19" t="inlineStr">
        <is>
          <t>http://127.0.0.1:8765/</t>
        </is>
      </c>
      <c r="G31" s="19" t="inlineStr">
        <is>
          <t>Custom HTTP checks</t>
        </is>
      </c>
      <c r="H31" s="19" t="inlineStr">
        <is>
          <t>Implement a Content Type Negotiation (CTN) policy to respect the declared content type.</t>
        </is>
      </c>
    </row>
    <row r="32" ht="23.85" customHeight="1">
      <c r="A32" s="7" t="inlineStr">
        <is>
          <t>FIND-028</t>
        </is>
      </c>
      <c r="B32" s="19" t="inlineStr">
        <is>
          <t>Referrer Policy is missing</t>
        </is>
      </c>
      <c r="C32" s="7" t="inlineStr">
        <is>
          <t>Security</t>
        </is>
      </c>
      <c r="D32" s="7" t="inlineStr">
        <is>
          <t>Low</t>
        </is>
      </c>
      <c r="E32" s="7" t="inlineStr">
        <is>
          <t>Verified</t>
        </is>
      </c>
      <c r="F32" s="19" t="inlineStr">
        <is>
          <t>http://127.0.0.1:8765/</t>
        </is>
      </c>
      <c r="G32" s="19" t="inlineStr">
        <is>
          <t>Custom HTTP checks</t>
        </is>
      </c>
      <c r="H32" s="19" t="inlineStr">
        <is>
          <t>Implement a Referer Policy (RP) to control how the Referer header is used.</t>
        </is>
      </c>
    </row>
    <row r="33" ht="23.85" customHeight="1">
      <c r="A33" s="7" t="inlineStr">
        <is>
          <t>FIND-029</t>
        </is>
      </c>
      <c r="B33" s="19" t="inlineStr">
        <is>
          <t>If this element contains a navigation section, it is recommended that it be marked up as a list.</t>
        </is>
      </c>
      <c r="C33" s="7" t="inlineStr">
        <is>
          <t>Accessibility</t>
        </is>
      </c>
      <c r="D33" s="7" t="inlineStr">
        <is>
          <t>Low</t>
        </is>
      </c>
      <c r="E33" s="7" t="inlineStr">
        <is>
          <t>Possible</t>
        </is>
      </c>
      <c r="F33" s="19" t="inlineStr">
        <is>
          <t>http://127.0.0.1:8765/</t>
        </is>
      </c>
      <c r="G33" s="19" t="inlineStr">
        <is>
          <t>Pa11y / HTML_CodeSniffer</t>
        </is>
      </c>
      <c r="H33" s="19" t="inlineStr">
        <is>
          <t>Correct the semantic markup or style described by this WCAG rule and verify with Pa11y plus keyboard testing.</t>
        </is>
      </c>
    </row>
    <row r="34" ht="23.85" customHeight="1">
      <c r="A34" s="7" t="inlineStr">
        <is>
          <t>FIND-030</t>
        </is>
      </c>
      <c r="B34" s="19" t="inlineStr">
        <is>
          <t>The heading structure is not logically nested. This h4 element should be an h2 to be properly nested.</t>
        </is>
      </c>
      <c r="C34" s="7" t="inlineStr">
        <is>
          <t>Accessibility</t>
        </is>
      </c>
      <c r="D34" s="7" t="inlineStr">
        <is>
          <t>Low</t>
        </is>
      </c>
      <c r="E34" s="7" t="inlineStr">
        <is>
          <t>Possible</t>
        </is>
      </c>
      <c r="F34" s="19" t="inlineStr">
        <is>
          <t>http://127.0.0.1:8765/about</t>
        </is>
      </c>
      <c r="G34" s="19" t="inlineStr">
        <is>
          <t>Pa11y / HTML_CodeSniffer</t>
        </is>
      </c>
      <c r="H34" s="19" t="inlineStr">
        <is>
          <t>Correct the semantic markup or style described by this WCAG rule and verify with Pa11y plus keyboard testing.</t>
        </is>
      </c>
    </row>
    <row r="35" ht="23.85" customHeight="1">
      <c r="A35" s="7" t="inlineStr">
        <is>
          <t>FIND-031</t>
        </is>
      </c>
      <c r="B35" s="19" t="inlineStr">
        <is>
          <t>Email field does not use type="email"</t>
        </is>
      </c>
      <c r="C35" s="7" t="inlineStr">
        <is>
          <t>Functionality</t>
        </is>
      </c>
      <c r="D35" s="7" t="inlineStr">
        <is>
          <t>Low</t>
        </is>
      </c>
      <c r="E35" s="7" t="inlineStr">
        <is>
          <t>Possible</t>
        </is>
      </c>
      <c r="F35" s="19" t="inlineStr">
        <is>
          <t>http://127.0.0.1:8765/contact</t>
        </is>
      </c>
      <c r="G35" s="19" t="inlineStr">
        <is>
          <t>DOM form inspection</t>
        </is>
      </c>
      <c r="H35" s="19" t="inlineStr">
        <is>
          <t>Use &lt;input type="email" required&gt; and keep server-side validation as the authoritative check.</t>
        </is>
      </c>
    </row>
  </sheetData>
  <autoFilter ref="A4:H35"/>
  <conditionalFormatting sqref="E5:E35">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conditionalFormatting sqref="D5:D35">
    <cfRule type="cellIs" priority="9" operator="equal" dxfId="11">
      <formula>"High"</formula>
    </cfRule>
    <cfRule type="cellIs" priority="10" operator="equal" dxfId="7">
      <formula>"Medium"</formula>
    </cfRule>
    <cfRule type="cellIs" priority="11" operator="equal" dxfId="9">
      <formula>"Low"</formula>
    </cfRule>
  </conditionalFormatting>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F30"/>
  <sheetViews>
    <sheetView showGridLines="0" zoomScaleNormal="100" workbookViewId="0">
      <selection activeCell="B17" sqref="B17:C17"/>
    </sheetView>
  </sheetViews>
  <sheetFormatPr baseColWidth="8" defaultColWidth="8.7109375" defaultRowHeight="15"/>
  <cols>
    <col width="34" customWidth="1" min="1" max="1"/>
    <col width="24" customWidth="1" min="2" max="2"/>
    <col width="22" customWidth="1" min="3" max="3"/>
    <col width="50" customWidth="1" min="4" max="4"/>
    <col width="30" customWidth="1" min="5" max="5"/>
    <col width="16" customWidth="1" min="6" max="6"/>
  </cols>
  <sheetData>
    <row r="1" ht="19.7" customHeight="1">
      <c r="A1" s="3" t="inlineStr">
        <is>
          <t>AI Models and How to Install</t>
        </is>
      </c>
    </row>
    <row r="2">
      <c r="A2" s="4" t="inlineStr">
        <is>
          <t>All AI runs locally with Ollama. No cloud, no external API calls.</t>
        </is>
      </c>
    </row>
    <row r="4">
      <c r="A4" s="20" t="inlineStr">
        <is>
          <t>Model</t>
        </is>
      </c>
      <c r="B4" s="20" t="inlineStr">
        <is>
          <t>Tag</t>
        </is>
      </c>
      <c r="C4" s="20" t="inlineStr">
        <is>
          <t>Size</t>
        </is>
      </c>
      <c r="D4" s="20" t="inlineStr">
        <is>
          <t>Used for</t>
        </is>
      </c>
      <c r="E4" s="20" t="inlineStr">
        <is>
          <t>Speed</t>
        </is>
      </c>
      <c r="F4" s="20" t="inlineStr">
        <is>
          <t>Status</t>
        </is>
      </c>
    </row>
    <row r="5">
      <c r="A5" s="19" t="inlineStr">
        <is>
          <t>Qwen2.5 1.5B Instruct</t>
        </is>
      </c>
      <c r="B5" s="7" t="inlineStr">
        <is>
          <t>qwen2.5:1.5b</t>
        </is>
      </c>
      <c r="C5" s="7" t="inlineStr">
        <is>
          <t>~986 MB</t>
        </is>
      </c>
      <c r="D5" s="19" t="inlineStr">
        <is>
          <t>Page classification, form tests, triage, summaries</t>
        </is>
      </c>
      <c r="E5" s="19" t="inlineStr">
        <is>
          <t>21.4 tok/s (~4.2 s per task)</t>
        </is>
      </c>
      <c r="F5" s="7" t="inlineStr">
        <is>
          <t>In use</t>
        </is>
      </c>
    </row>
    <row r="6">
      <c r="A6" s="19" t="inlineStr">
        <is>
          <t>Qwen2.5-VL 7B Instruct</t>
        </is>
      </c>
      <c r="B6" s="7" t="inlineStr">
        <is>
          <t>qwen2.5vl:7b</t>
        </is>
      </c>
      <c r="C6" s="7" t="inlineStr">
        <is>
          <t>~4.7 GB</t>
        </is>
      </c>
      <c r="D6" s="19" t="inlineStr">
        <is>
          <t>Looks at screenshots (overlap, clutter, touch targets)</t>
        </is>
      </c>
      <c r="E6" s="19" t="inlineStr">
        <is>
          <t>4.8 tok/s (~52 s per screenshot)</t>
        </is>
      </c>
      <c r="F6" s="7" t="inlineStr">
        <is>
          <t>In use</t>
        </is>
      </c>
    </row>
    <row r="7">
      <c r="A7" s="19" t="inlineStr">
        <is>
          <t>Qwen2.5 7B Instruct (Alt)</t>
        </is>
      </c>
      <c r="B7" s="7" t="inlineStr">
        <is>
          <t>qwen2.5:7b</t>
        </is>
      </c>
      <c r="C7" s="7" t="inlineStr">
        <is>
          <t>4.4 GB</t>
        </is>
      </c>
      <c r="D7" s="19" t="inlineStr">
        <is>
          <t>Deeper root-cause analysis (optional)</t>
        </is>
      </c>
      <c r="E7" s="19" t="inlineStr">
        <is>
          <t>5.6 tok/s (~18 s per task)</t>
        </is>
      </c>
      <c r="F7" s="7" t="inlineStr">
        <is>
          <t>Catalogued only</t>
        </is>
      </c>
    </row>
    <row r="8">
      <c r="A8" s="19" t="inlineStr">
        <is>
          <t>DeepSeek-R1 Distill 8B</t>
        </is>
      </c>
      <c r="B8" s="7" t="inlineStr">
        <is>
          <t>deepseek-r1:8b</t>
        </is>
      </c>
      <c r="C8" s="7" t="inlineStr">
        <is>
          <t>4.9 GB</t>
        </is>
      </c>
      <c r="D8" s="19" t="inlineStr">
        <is>
          <t>Multi-step security reasoning (optional)</t>
        </is>
      </c>
      <c r="E8" s="19" t="inlineStr">
        <is>
          <t>4.2 tok/s (~24 s per task)</t>
        </is>
      </c>
      <c r="F8" s="7" t="inlineStr">
        <is>
          <t>Catalogued only</t>
        </is>
      </c>
    </row>
    <row r="10">
      <c r="A10" s="5" t="inlineStr">
        <is>
          <t>Hardware and safety settings</t>
        </is>
      </c>
    </row>
    <row r="11" ht="15" customHeight="1">
      <c r="A11" s="20" t="inlineStr">
        <is>
          <t>Setting</t>
        </is>
      </c>
      <c r="B11" s="20" t="inlineStr">
        <is>
          <t>Value</t>
        </is>
      </c>
      <c r="C11" s="22" t="n"/>
      <c r="D11" s="20" t="inlineStr">
        <is>
          <t>Why</t>
        </is>
      </c>
      <c r="E11" s="21" t="n"/>
      <c r="F11" s="22" t="n"/>
    </row>
    <row r="12" ht="15" customHeight="1">
      <c r="A12" s="19" t="inlineStr">
        <is>
          <t>Parameter / Constraint</t>
        </is>
      </c>
      <c r="B12" s="19" t="inlineStr">
        <is>
          <t>Configuration Value</t>
        </is>
      </c>
      <c r="C12" s="22" t="n"/>
      <c r="D12" s="19" t="inlineStr">
        <is>
          <t>Engineering Rationale &amp; Hardware Protections</t>
        </is>
      </c>
      <c r="E12" s="21" t="n"/>
      <c r="F12" s="22" t="n"/>
    </row>
    <row r="13" ht="23.85" customHeight="1">
      <c r="A13" s="19" t="inlineStr">
        <is>
          <t>Host Platform</t>
        </is>
      </c>
      <c r="B13" s="19" t="inlineStr">
        <is>
          <t>NVIDIA Jetson Orin AGX (Linux 5.15 aarch64, 30GB Unified Memory)</t>
        </is>
      </c>
      <c r="C13" s="22" t="n"/>
      <c r="D13" s="19" t="inlineStr">
        <is>
          <t>Edge AI platform; unified LPDDR5 memory shared between CPU and GPU compute.</t>
        </is>
      </c>
      <c r="E13" s="21" t="n"/>
      <c r="F13" s="22" t="n"/>
    </row>
    <row r="14" ht="23.85" customHeight="1">
      <c r="A14" s="19" t="inlineStr">
        <is>
          <t>Ollama Endpoint</t>
        </is>
      </c>
      <c r="B14" s="19" t="inlineStr">
        <is>
          <t>http://127.0.0.1:11434 (Host-local execution, ARM CPU Neon acceleration)</t>
        </is>
      </c>
      <c r="C14" s="22" t="n"/>
      <c r="D14" s="19" t="inlineStr">
        <is>
          <t>Zero cloud dependencies. Prevents telemetry, external egress, and API token billing.</t>
        </is>
      </c>
      <c r="E14" s="21" t="n"/>
      <c r="F14" s="22" t="n"/>
    </row>
    <row r="15" ht="15" customHeight="1">
      <c r="A15" s="19" t="inlineStr">
        <is>
          <t>OLLAMA_NUM_PARALLEL</t>
        </is>
      </c>
      <c r="B15" s="19" t="inlineStr">
        <is>
          <t>1 (Strict single-request execution queue)</t>
        </is>
      </c>
      <c r="C15" s="22" t="n"/>
      <c r="D15" s="19" t="inlineStr">
        <is>
          <t>Prevents concurrent model thrashing on unified memory; guarantees predictable latency and prevents OOM.</t>
        </is>
      </c>
      <c r="E15" s="21" t="n"/>
      <c r="F15" s="22" t="n"/>
    </row>
    <row r="16" ht="15" customHeight="1">
      <c r="A16" s="19" t="inlineStr">
        <is>
          <t>Observation Buffer Cap</t>
        </is>
      </c>
      <c r="B16" s="19" t="inlineStr">
        <is>
          <t>14,000 characters per scan artifact observation</t>
        </is>
      </c>
      <c r="C16" s="22" t="n"/>
      <c r="D16" s="19" t="inlineStr">
        <is>
          <t>Prevents massive DOM dumps from blowing out model context window and causing token truncation.</t>
        </is>
      </c>
      <c r="E16" s="21" t="n"/>
      <c r="F16" s="22" t="n"/>
    </row>
    <row r="17" ht="15" customHeight="1">
      <c r="A17" s="19" t="inlineStr">
        <is>
          <t>Token Output Cap (num_predict)</t>
        </is>
      </c>
      <c r="B17" s="19" t="inlineStr">
        <is>
          <t>1,024 tokens maximum per reasoning prompt</t>
        </is>
      </c>
      <c r="C17" s="22" t="n"/>
      <c r="D17" s="19" t="inlineStr">
        <is>
          <t>Stops runaway generative loops; keeps LLM synthesis responses concise, structured, and parseable.</t>
        </is>
      </c>
      <c r="E17" s="21" t="n"/>
      <c r="F17" s="22" t="n"/>
    </row>
    <row r="18" ht="15" customHeight="1">
      <c r="A18" s="19" t="inlineStr">
        <is>
          <t>Inference Timeout Settings</t>
        </is>
      </c>
      <c r="B18" s="19" t="inlineStr">
        <is>
          <t>300s socket timeout / 360s client request timeout</t>
        </is>
      </c>
      <c r="C18" s="22" t="n"/>
      <c r="D18" s="19" t="inlineStr">
        <is>
          <t>Accommodates heavy multimodal visual reasoning tasks on Jetson hardware without prematurely failing jobs.</t>
        </is>
      </c>
      <c r="E18" s="21" t="n"/>
      <c r="F18" s="22" t="n"/>
    </row>
    <row r="19" ht="23.85" customHeight="1">
      <c r="A19" s="19" t="inlineStr">
        <is>
          <t>Honest Fallback Policy</t>
        </is>
      </c>
      <c r="B19" s="19" t="inlineStr">
        <is>
          <t>Strict non-fabrication: if JSON parse fails, outputs measured scanner data</t>
        </is>
      </c>
      <c r="C19" s="22" t="n"/>
      <c r="D19" s="19" t="inlineStr">
        <is>
          <t>Upholds 'No Cloud Fallback / Real Tools' philosophy. Never fabricates scores or invented vulnerabilities.</t>
        </is>
      </c>
      <c r="E19" s="21" t="n"/>
      <c r="F19" s="22" t="n"/>
    </row>
    <row r="21">
      <c r="A21" s="5" t="inlineStr">
        <is>
          <t>How to install and run (works on any machine)</t>
        </is>
      </c>
    </row>
    <row r="22" ht="15" customHeight="1">
      <c r="A22" s="20" t="inlineStr">
        <is>
          <t>Step</t>
        </is>
      </c>
      <c r="B22" s="20" t="inlineStr">
        <is>
          <t>Command</t>
        </is>
      </c>
      <c r="C22" s="22" t="n"/>
      <c r="D22" s="20" t="inlineStr">
        <is>
          <t>Notes</t>
        </is>
      </c>
      <c r="E22" s="21" t="n"/>
      <c r="F22" s="22" t="n"/>
    </row>
    <row r="23" ht="15" customHeight="1">
      <c r="A23" s="19" t="inlineStr">
        <is>
          <t>1. Clone/copy project</t>
        </is>
      </c>
      <c r="B23" s="19" t="inlineStr">
        <is>
          <t>copy the ai-universal-website-tester folder</t>
        </is>
      </c>
      <c r="C23" s="22" t="n"/>
      <c r="D23" s="19" t="inlineStr">
        <is>
          <t>Self-contained; no absolute paths required.</t>
        </is>
      </c>
      <c r="E23" s="21" t="n"/>
      <c r="F23" s="22" t="n"/>
    </row>
    <row r="24" ht="23.85" customHeight="1">
      <c r="A24" s="19" t="inlineStr">
        <is>
          <t>2. Python env</t>
        </is>
      </c>
      <c r="B24" s="19" t="inlineStr">
        <is>
          <t>python -m venv .venv &amp;&amp; . .venv/bin/activate &amp;&amp; pip install -r backend/requirements.txt</t>
        </is>
      </c>
      <c r="C24" s="22" t="n"/>
      <c r="D24" s="19" t="inlineStr">
        <is>
          <t>Python 3.11+; installs FastAPI, Playwright, openpyxl, etc.</t>
        </is>
      </c>
      <c r="E24" s="21" t="n"/>
      <c r="F24" s="22" t="n"/>
    </row>
    <row r="25" ht="15" customHeight="1">
      <c r="A25" s="19" t="inlineStr">
        <is>
          <t>3. Browser</t>
        </is>
      </c>
      <c r="B25" s="19" t="inlineStr">
        <is>
          <t>python -m playwright install chromium</t>
        </is>
      </c>
      <c r="C25" s="22" t="n"/>
      <c r="D25" s="19" t="inlineStr">
        <is>
          <t>Bundled Chromium used automatically if present.</t>
        </is>
      </c>
      <c r="E25" s="21" t="n"/>
      <c r="F25" s="22" t="n"/>
    </row>
    <row r="26" ht="23.85" customHeight="1">
      <c r="A26" s="19" t="inlineStr">
        <is>
          <t>4. Local AI (optional)</t>
        </is>
      </c>
      <c r="B26" s="19" t="inlineStr">
        <is>
          <t>install Ollama; ollama pull qwen2.5:1.5b; ollama pull qwen2.5vl:7b</t>
        </is>
      </c>
      <c r="C26" s="22" t="n"/>
      <c r="D26" s="19" t="inlineStr">
        <is>
          <t>AI steps skip honestly if Ollama/models are absent - never fabricated.</t>
        </is>
      </c>
      <c r="E26" s="21" t="n"/>
      <c r="F26" s="22" t="n"/>
    </row>
    <row r="27" ht="23.85" customHeight="1">
      <c r="A27" s="19" t="inlineStr">
        <is>
          <t>5. Node scanners (optional)</t>
        </is>
      </c>
      <c r="B27" s="19" t="inlineStr">
        <is>
          <t>cd tools &amp;&amp; npm ci   ;   cd frontend &amp;&amp; npm install &amp;&amp; npm run build</t>
        </is>
      </c>
      <c r="C27" s="22" t="n"/>
      <c r="D27" s="19" t="inlineStr">
        <is>
          <t>axe-core/Pa11y/Lighthouse + the UI bundle.</t>
        </is>
      </c>
      <c r="E27" s="21" t="n"/>
      <c r="F27" s="22" t="n"/>
    </row>
    <row r="28" ht="23.85" customHeight="1">
      <c r="A28" s="19" t="inlineStr">
        <is>
          <t>6. Optional tools</t>
        </is>
      </c>
      <c r="B28" s="19" t="inlineStr">
        <is>
          <t>install nuclei / zap / k6 / nikto / sqlmap; set UWT_* env flags</t>
        </is>
      </c>
      <c r="C28" s="22" t="n"/>
      <c r="D28" s="19" t="inlineStr">
        <is>
          <t>All optional; each reports 'skipped' if missing (never a false pass).</t>
        </is>
      </c>
      <c r="E28" s="21" t="n"/>
      <c r="F28" s="22" t="n"/>
    </row>
    <row r="29" ht="23.85" customHeight="1">
      <c r="A29" s="19" t="inlineStr">
        <is>
          <t>7. Run backend</t>
        </is>
      </c>
      <c r="B29" s="19" t="inlineStr">
        <is>
          <t>cd backend &amp;&amp; python -m uvicorn app.main:app --host 127.0.0.1 --port 8000</t>
        </is>
      </c>
      <c r="C29" s="22" t="n"/>
      <c r="D29" s="19" t="inlineStr">
        <is>
          <t>Serves API + prebuilt UI at http://127.0.0.1:8000.</t>
        </is>
      </c>
      <c r="E29" s="21" t="n"/>
      <c r="F29" s="22" t="n"/>
    </row>
    <row r="30" ht="23.85" customHeight="1">
      <c r="A30" s="19" t="inlineStr">
        <is>
          <t>8. Configure</t>
        </is>
      </c>
      <c r="B30" s="19" t="inlineStr">
        <is>
          <t>copy .env.example to .env; set UWT_ALLOWLIST and optional UWT_* flags</t>
        </is>
      </c>
      <c r="C30" s="22" t="n"/>
      <c r="D30" s="19" t="inlineStr">
        <is>
          <t>Security/load gated by allowlist + runtime attestation.</t>
        </is>
      </c>
      <c r="E30" s="21" t="n"/>
      <c r="F30" s="22" t="n"/>
    </row>
  </sheetData>
  <mergeCells count="36">
    <mergeCell ref="D13:F13"/>
    <mergeCell ref="B16:C16"/>
    <mergeCell ref="D11:F11"/>
    <mergeCell ref="D27:F27"/>
    <mergeCell ref="B25:C25"/>
    <mergeCell ref="B22:C22"/>
    <mergeCell ref="D17:F17"/>
    <mergeCell ref="B27:C27"/>
    <mergeCell ref="B18:C18"/>
    <mergeCell ref="D16:F16"/>
    <mergeCell ref="B12:C12"/>
    <mergeCell ref="D28:F28"/>
    <mergeCell ref="B11:C11"/>
    <mergeCell ref="D12:F12"/>
    <mergeCell ref="D18:F18"/>
    <mergeCell ref="B23:C23"/>
    <mergeCell ref="B14:C14"/>
    <mergeCell ref="B17:C17"/>
    <mergeCell ref="D30:F30"/>
    <mergeCell ref="D25:F25"/>
    <mergeCell ref="D15:F15"/>
    <mergeCell ref="D24:F24"/>
    <mergeCell ref="B13:C13"/>
    <mergeCell ref="D14:F14"/>
    <mergeCell ref="D29:F29"/>
    <mergeCell ref="B29:C29"/>
    <mergeCell ref="D23:F23"/>
    <mergeCell ref="B19:C19"/>
    <mergeCell ref="B28:C28"/>
    <mergeCell ref="D26:F26"/>
    <mergeCell ref="D19:F19"/>
    <mergeCell ref="B24:C24"/>
    <mergeCell ref="B30:C30"/>
    <mergeCell ref="B15:C15"/>
    <mergeCell ref="D22:F22"/>
    <mergeCell ref="B26:C26"/>
  </mergeCells>
  <conditionalFormatting sqref="F5:F8">
    <cfRule type="cellIs" priority="2" operator="equal" dxfId="8">
      <formula>"In use"</formula>
    </cfRule>
    <cfRule type="cellIs" priority="3" operator="equal" dxfId="7">
      <formula>"Catalogued only"</formula>
    </cfRule>
  </conditionalFormatting>
  <pageMargins left="0.75" right="0.75" top="1" bottom="1" header="0.511811023622047" footer="0.511811023622047"/>
  <pageSetup orientation="landscape" fitToHeight="0" horizontalDpi="300" verticalDpi="300"/>
</worksheet>
</file>

<file path=xl/worksheets/sheet8.xml><?xml version="1.0" encoding="utf-8"?>
<worksheet xmlns="http://schemas.openxmlformats.org/spreadsheetml/2006/main">
  <sheetPr>
    <outlinePr summaryBelow="1" summaryRight="1"/>
    <pageSetUpPr fitToPage="1"/>
  </sheetPr>
  <dimension ref="A1:E10"/>
  <sheetViews>
    <sheetView showGridLines="0" zoomScaleNormal="100" workbookViewId="0">
      <selection activeCell="B5" sqref="B5"/>
    </sheetView>
  </sheetViews>
  <sheetFormatPr baseColWidth="8" defaultColWidth="8.7109375" defaultRowHeight="15"/>
  <cols>
    <col width="42" customWidth="1" min="1" max="1"/>
    <col width="55" customWidth="1" min="2" max="2"/>
    <col width="12" customWidth="1" min="3" max="4"/>
    <col width="55" customWidth="1" min="5" max="5"/>
  </cols>
  <sheetData>
    <row r="1" ht="19.7" customHeight="1">
      <c r="A1" s="3" t="inlineStr">
        <is>
          <t>Risks and How They Were Handled</t>
        </is>
      </c>
    </row>
    <row r="4">
      <c r="A4" s="20" t="inlineStr">
        <is>
          <t>Risk</t>
        </is>
      </c>
      <c r="B4" s="20" t="inlineStr">
        <is>
          <t>What we did about it</t>
        </is>
      </c>
      <c r="C4" s="20" t="inlineStr">
        <is>
          <t>Owner</t>
        </is>
      </c>
      <c r="D4" s="20" t="inlineStr">
        <is>
          <t>Status</t>
        </is>
      </c>
      <c r="E4" s="20" t="inlineStr">
        <is>
          <t>Result</t>
        </is>
      </c>
    </row>
    <row r="5" ht="23.85" customHeight="1">
      <c r="A5" s="19" t="inlineStr">
        <is>
          <t>Non-allowlisted target dead-ends security/load</t>
        </is>
      </c>
      <c r="B5" s="19" t="inlineStr">
        <is>
          <t>Runtime per-origin authorization with explicit permission attestation, persisted and auditable</t>
        </is>
      </c>
      <c r="C5" s="7" t="inlineStr">
        <is>
          <t>Nagendra</t>
        </is>
      </c>
      <c r="D5" s="7" t="inlineStr">
        <is>
          <t>Resolved</t>
        </is>
      </c>
      <c r="E5" s="19" t="inlineStr">
        <is>
          <t>403 without attestation; attested origin authorized then revocable; exact-origin preserved.</t>
        </is>
      </c>
    </row>
    <row r="6" ht="23.85" customHeight="1">
      <c r="A6" s="19" t="inlineStr">
        <is>
          <t>Scanner marked unavailable looks like a failure (ZAP)</t>
        </is>
      </c>
      <c r="B6" s="19" t="inlineStr">
        <is>
          <t>Honest optional status + actionable resolution; ready reflects required tools only</t>
        </is>
      </c>
      <c r="C6" s="7" t="inlineStr">
        <is>
          <t>Nagendra</t>
        </is>
      </c>
      <c r="D6" s="7" t="inlineStr">
        <is>
          <t>Resolved</t>
        </is>
      </c>
      <c r="E6" s="19" t="inlineStr">
        <is>
          <t>ZAP shows 'Optional' with setup hint; security still runs via Nuclei + built-in checks.</t>
        </is>
      </c>
    </row>
    <row r="7" ht="23.85" customHeight="1">
      <c r="A7" s="19" t="inlineStr">
        <is>
          <t>Active scanners (Nikto/sqlmap) could be intrusive</t>
        </is>
      </c>
      <c r="B7" s="19" t="inlineStr">
        <is>
          <t>Opt-in (disabled by default), detection-only, bounded, proxy-routed, authorization-gated; no destructive options</t>
        </is>
      </c>
      <c r="C7" s="7" t="inlineStr">
        <is>
          <t>Nagendra</t>
        </is>
      </c>
      <c r="D7" s="7" t="inlineStr">
        <is>
          <t>Mitigated</t>
        </is>
      </c>
      <c r="E7" s="19" t="inlineStr">
        <is>
          <t>Defaults off; sqlmap uses BEU/level1/risk1, no --dump/os/file; covered by tests.</t>
        </is>
      </c>
    </row>
    <row r="8" ht="23.85" customHeight="1">
      <c r="A8" s="19" t="inlineStr">
        <is>
          <t>Explicit tool path silently replaced by another binary</t>
        </is>
      </c>
      <c r="B8" s="19" t="inlineStr">
        <is>
          <t>resolve_binary honours explicit config: missing -&gt; skipped, never substituted</t>
        </is>
      </c>
      <c r="C8" s="7" t="inlineStr">
        <is>
          <t>Nagendra</t>
        </is>
      </c>
      <c r="D8" s="7" t="inlineStr">
        <is>
          <t>Resolved</t>
        </is>
      </c>
      <c r="E8" s="19" t="inlineStr">
        <is>
          <t>Fixed nuclei.py &amp; browser.py; honest skip/fail; tests green.</t>
        </is>
      </c>
    </row>
    <row r="9" ht="23.85" customHeight="1">
      <c r="A9" s="19" t="inlineStr">
        <is>
          <t>Crawler wandering off-path on deep seeds (#9)</t>
        </is>
      </c>
      <c r="B9" s="19" t="inlineStr">
        <is>
          <t>Directory crawl scoping (_in_scope) + nav retries isolate failed pages</t>
        </is>
      </c>
      <c r="C9" s="7" t="inlineStr">
        <is>
          <t>Nagendra</t>
        </is>
      </c>
      <c r="D9" s="7" t="inlineStr">
        <is>
          <t>Resolved</t>
        </is>
      </c>
      <c r="E9" s="19" t="inlineStr">
        <is>
          <t>Practice app 7/7 pages, 0 failed; deep seeds confined to folder.</t>
        </is>
      </c>
    </row>
    <row r="10">
      <c r="A10" s="19" t="inlineStr">
        <is>
          <t>Cloud fallback / privacy</t>
        </is>
      </c>
      <c r="B10" s="19" t="inlineStr">
        <is>
          <t>100% local Ollama at 127.0.0.1:11434; no external LLM calls</t>
        </is>
      </c>
      <c r="C10" s="7" t="inlineStr">
        <is>
          <t>Nagendra</t>
        </is>
      </c>
      <c r="D10" s="7" t="inlineStr">
        <is>
          <t>Resolved</t>
        </is>
      </c>
      <c r="E10" s="19" t="inlineStr">
        <is>
          <t>No telemetry/third-party API calls in logs.</t>
        </is>
      </c>
    </row>
  </sheetData>
  <conditionalFormatting sqref="D5:D10">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9.xml><?xml version="1.0" encoding="utf-8"?>
<worksheet xmlns="http://schemas.openxmlformats.org/spreadsheetml/2006/main">
  <sheetPr>
    <outlinePr summaryBelow="1" summaryRight="1"/>
    <pageSetUpPr fitToPage="1"/>
  </sheetPr>
  <dimension ref="A1:B10"/>
  <sheetViews>
    <sheetView showGridLines="0" zoomScaleNormal="100" workbookViewId="0">
      <selection activeCell="B14" sqref="B14"/>
    </sheetView>
  </sheetViews>
  <sheetFormatPr baseColWidth="8" defaultColWidth="8.7109375" defaultRowHeight="15"/>
  <cols>
    <col width="28" customWidth="1" min="1" max="1"/>
    <col width="120" customWidth="1" min="2" max="2"/>
  </cols>
  <sheetData>
    <row r="1" ht="19.7" customHeight="1">
      <c r="A1" s="3" t="inlineStr">
        <is>
          <t>Notes: What Was Merged and What Was Left Out</t>
        </is>
      </c>
    </row>
    <row r="3">
      <c r="A3" s="20" t="inlineStr">
        <is>
          <t>Topic</t>
        </is>
      </c>
      <c r="B3" s="20" t="inlineStr">
        <is>
          <t>Explanation</t>
        </is>
      </c>
    </row>
    <row r="4">
      <c r="A4" s="17" t="inlineStr">
        <is>
          <t>Source files</t>
        </is>
      </c>
      <c r="B4" s="19" t="inlineStr">
        <is>
          <t>1) Team_Plan_and_Test_Tracker.xlsx  2) Team_Plan_and_Test_Tracker_FINAL_MERGED.xlsx. This file replaces both.</t>
        </is>
      </c>
    </row>
    <row r="5">
      <c r="A5" s="17" t="inlineStr">
        <is>
          <t>Which numbers are current</t>
        </is>
      </c>
      <c r="B5" s="19" t="inlineStr">
        <is>
          <t>186 tests, 80% coverage (15 of 20 steps), score 58/100, 31 findings, 27 verified. All from the latest Oct 13 run.</t>
        </is>
      </c>
    </row>
    <row r="6">
      <c r="A6" s="17" t="inlineStr">
        <is>
          <t>Older numbers (not current)</t>
        </is>
      </c>
      <c r="B6" s="19" t="inlineStr">
        <is>
          <t>The earlier team-version run showed 146 tests and 88% coverage (15/17 steps). Different run. Do not add to 186.</t>
        </is>
      </c>
    </row>
    <row r="7" ht="23.85" customHeight="1">
      <c r="A7" s="17" t="inlineStr">
        <is>
          <t>Earlier practice findings</t>
        </is>
      </c>
      <c r="B7" s="19" t="inlineStr">
        <is>
          <t>The merged file had a second list of 31 findings with different IDs (e.g. CORS wildcard, debug endpoint). They do not match the latest real scan, so they were left out. Only the latest scan is on the Findings sheet.</t>
        </is>
      </c>
    </row>
    <row r="8" ht="23.85" customHeight="1">
      <c r="A8" s="17" t="inlineStr">
        <is>
          <t>Tasks</t>
        </is>
      </c>
      <c r="B8" s="19" t="inlineStr">
        <is>
          <t>39 tasks in total, all marked Done. Original = from the team plan (8 each). Later addition = new work added Oct 13 to 14. Recap = Nagendra rows that restate earlier work.</t>
        </is>
      </c>
    </row>
    <row r="9">
      <c r="A9" s="17" t="inlineStr">
        <is>
          <t>Duplicates removed</t>
        </is>
      </c>
      <c r="B9" s="19" t="inlineStr">
        <is>
          <t>3 duplicate manual checks (Ollama reachability, HTTP timing, export formats) appeared twice for Nagendra. Kept one of each.</t>
        </is>
      </c>
    </row>
    <row r="10" ht="23.85" customHeight="1">
      <c r="A10" s="17" t="inlineStr">
        <is>
          <t>Please double check</t>
        </is>
      </c>
      <c r="B10" s="19" t="inlineStr">
        <is>
          <t>a) Day 5 tasks are dated Oct 14 but marked Done on Oct 13. b) XLSX export is called 8-sheet in some rows and 10-sheet in others. c) Task counts show rows in the workbook; they are not a performance score.</t>
        </is>
      </c>
    </row>
  </sheetData>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2026-10-13T09:18:06Z</dcterms:created>
  <dcterms:modified xmlns:dcterms="http://purl.org/dc/terms/" xmlns:xsi="http://www.w3.org/2001/XMLSchema-instance" xsi:type="dcterms:W3CDTF">2026-10-14T03:11:24Z</dcterms:modified>
  <cp:revision>0</cp:revision>
</cp:coreProperties>
</file>