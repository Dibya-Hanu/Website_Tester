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2" activeTab="2" autoFilterDateGrouping="1"/>
  </bookViews>
  <sheets>
    <sheet xmlns:r="http://schemas.openxmlformats.org/officeDocument/2006/relationships" name="Overview" sheetId="1" state="visible" r:id="rId1"/>
    <sheet xmlns:r="http://schemas.openxmlformats.org/officeDocument/2006/relationships" name="Team" sheetId="2" state="visible" r:id="rId2"/>
    <sheet xmlns:r="http://schemas.openxmlformats.org/officeDocument/2006/relationships" name="Tasks" sheetId="3" state="visible" r:id="rId3"/>
    <sheet xmlns:r="http://schemas.openxmlformats.org/officeDocument/2006/relationships" name="Checks" sheetId="4" state="visible" r:id="rId4"/>
    <sheet xmlns:r="http://schemas.openxmlformats.org/officeDocument/2006/relationships" name="Tests" sheetId="5" state="visible" r:id="rId5"/>
    <sheet xmlns:r="http://schemas.openxmlformats.org/officeDocument/2006/relationships" name="Findings" sheetId="6" state="visible" r:id="rId6"/>
    <sheet xmlns:r="http://schemas.openxmlformats.org/officeDocument/2006/relationships" name="AI &amp; Setup" sheetId="7" state="visible" r:id="rId7"/>
    <sheet xmlns:r="http://schemas.openxmlformats.org/officeDocument/2006/relationships" name="Risks" sheetId="8" state="visible" r:id="rId8"/>
    <sheet xmlns:r="http://schemas.openxmlformats.org/officeDocument/2006/relationships" name="Notes" sheetId="9" state="visible" r:id="rId9"/>
  </sheets>
  <definedNames>
    <definedName name="_xlnm._FilterDatabase" localSheetId="2" hidden="1">'Tasks'!$A$4:$G$43</definedName>
    <definedName name="_xlnm._FilterDatabase" localSheetId="3" hidden="1">'Checks'!$A$4:$E$31</definedName>
    <definedName name="_xlnm._FilterDatabase" localSheetId="5" hidden="1">'Findings'!$A$4:$H$35</definedName>
  </definedNames>
  <calcPr calcId="191028" fullCalcOnLoad="1" iterateDelta="0.000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Arial"/>
      <charset val="1"/>
      <b val="1"/>
      <color rgb="FF1F3864"/>
      <sz val="16"/>
    </font>
    <font>
      <name val="Arial"/>
      <charset val="1"/>
      <i val="1"/>
      <color rgb="FF595959"/>
      <sz val="10"/>
    </font>
    <font>
      <name val="Arial"/>
      <charset val="1"/>
      <b val="1"/>
      <color rgb="FF1F3864"/>
      <sz val="12"/>
    </font>
    <font>
      <name val="Arial"/>
      <charset val="1"/>
      <b val="1"/>
      <color rgb="FFFFFFFF"/>
      <sz val="10"/>
    </font>
    <font>
      <name val="Arial"/>
      <charset val="1"/>
      <sz val="10"/>
    </font>
    <font>
      <name val="Arial"/>
      <charset val="1"/>
      <b val="1"/>
      <sz val="10"/>
    </font>
    <font>
      <name val="Arial"/>
      <charset val="1"/>
      <color rgb="FF0000FF"/>
      <sz val="10"/>
    </font>
    <font>
      <name val="Arial"/>
      <charset val="1"/>
      <i val="1"/>
      <color rgb="FF595959"/>
      <sz val="9"/>
    </font>
  </fonts>
  <fills count="4">
    <fill>
      <patternFill/>
    </fill>
    <fill>
      <patternFill patternType="gray125"/>
    </fill>
    <fill>
      <patternFill patternType="solid">
        <fgColor rgb="FF2F5597"/>
        <bgColor rgb="FF1F3864"/>
      </patternFill>
    </fill>
    <fill>
      <patternFill patternType="solid">
        <fgColor rgb="FFDEEAF6"/>
        <bgColor rgb="FFDDEBF7"/>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6" fillId="3" borderId="1" applyAlignment="1" pivotButton="0" quotePrefix="0" xfId="0">
      <alignment horizontal="center" vertical="top" wrapText="1"/>
    </xf>
    <xf numFmtId="0" fontId="6" fillId="3" borderId="1" applyAlignment="1" pivotButton="0" quotePrefix="0" xfId="0">
      <alignment vertical="top" wrapText="1"/>
    </xf>
    <xf numFmtId="9" fontId="6" fillId="3" borderId="1" applyAlignment="1" pivotButton="0" quotePrefix="0" xfId="0">
      <alignment horizontal="center" vertical="top" wrapText="1"/>
    </xf>
    <xf numFmtId="1" fontId="5" fillId="0" borderId="1" applyAlignment="1" pivotButton="0" quotePrefix="0" xfId="0">
      <alignment horizontal="center" vertical="top" wrapText="1"/>
    </xf>
    <xf numFmtId="164" fontId="5" fillId="0" borderId="1" applyAlignment="1" pivotButton="0" quotePrefix="0" xfId="0">
      <alignment horizontal="center" vertical="top" wrapText="1"/>
    </xf>
    <xf numFmtId="9" fontId="7" fillId="0" borderId="1" applyAlignment="1" pivotButton="0" quotePrefix="0" xfId="0">
      <alignment horizontal="center" vertical="top" wrapText="1"/>
    </xf>
    <xf numFmtId="1" fontId="7" fillId="0" borderId="1" applyAlignment="1" pivotButton="0" quotePrefix="0" xfId="0">
      <alignment horizontal="center" vertical="top" wrapText="1"/>
    </xf>
    <xf numFmtId="0" fontId="8" fillId="0" borderId="0" pivotButton="0" quotePrefix="0" xfId="0"/>
    <xf numFmtId="0" fontId="6" fillId="0" borderId="1" applyAlignment="1" pivotButton="0" quotePrefix="0" xfId="0">
      <alignment vertical="top" wrapText="1"/>
    </xf>
    <xf numFmtId="15" fontId="5" fillId="0" borderId="1" applyAlignment="1" pivotButton="0" quotePrefix="0" xfId="0">
      <alignment horizontal="center" vertical="top" wrapText="1"/>
    </xf>
    <xf numFmtId="0" fontId="5" fillId="0" borderId="1" applyAlignment="1" pivotButton="0" quotePrefix="0" xfId="0">
      <alignment vertical="top" wrapText="1"/>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2" borderId="0" pivotButton="0" quotePrefix="0" xfId="0"/>
    <xf numFmtId="0" fontId="5" fillId="0" borderId="0" applyAlignment="1" pivotButton="0" quotePrefix="0" xfId="0">
      <alignment vertical="top" wrapText="1"/>
    </xf>
  </cellXfs>
  <cellStyles count="1">
    <cellStyle name="Normal" xfId="0" builtinId="0"/>
  </cellStyles>
  <dxfs count="47">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ill>
        <patternFill>
          <bgColor rgb="FFFFEB9C"/>
        </patternFill>
      </fill>
    </dxf>
    <dxf>
      <fill>
        <patternFill>
          <bgColor rgb="FFC6EFCE"/>
        </patternFill>
      </fill>
    </dxf>
    <dxf>
      <fill>
        <patternFill>
          <bgColor rgb="FFDDEBF7"/>
        </patternFill>
      </fill>
    </dxf>
    <dxf>
      <fill>
        <patternFill>
          <bgColor rgb="FFFFEB9C"/>
        </patternFill>
      </fill>
    </dxf>
    <dxf>
      <fill>
        <patternFill>
          <bgColor rgb="FFFFC7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9C5700"/>
        <sz val="10"/>
      </font>
      <fill>
        <patternFill>
          <bgColor rgb="FFFFEB9C"/>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
      <font>
        <name val="Arial"/>
        <charset val="1"/>
        <color rgb="FF006100"/>
        <sz val="1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EEAF6"/>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2F5597"/>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0"/>
  <sheetViews>
    <sheetView showGridLines="0" zoomScaleNormal="100" workbookViewId="0">
      <selection activeCell="A1" sqref="A1"/>
    </sheetView>
  </sheetViews>
  <sheetFormatPr baseColWidth="8" defaultColWidth="8.7109375" defaultRowHeight="15" outlineLevelCol="0"/>
  <cols>
    <col width="30" customWidth="1" min="1" max="1"/>
    <col width="36" customWidth="1" min="2" max="2"/>
    <col width="10" customWidth="1" min="3" max="3"/>
    <col width="12" customWidth="1" min="4" max="4"/>
    <col width="13" customWidth="1" min="5" max="5"/>
    <col width="10" customWidth="1" min="6" max="6"/>
    <col width="15" customWidth="1" min="7" max="7"/>
  </cols>
  <sheetData>
    <row r="1" ht="25.5" customHeight="1">
      <c r="A1" s="3" t="inlineStr">
        <is>
          <t>AI-Powered Universal Website Tester (v2)</t>
        </is>
      </c>
    </row>
    <row r="2">
      <c r="A2" s="4" t="inlineStr">
        <is>
          <t>Final project tracker. Updated 13 Oct 2026. Everything on this page is calculated from the other sheets.</t>
        </is>
      </c>
    </row>
    <row r="4">
      <c r="A4" s="5" t="inlineStr">
        <is>
          <t>1. Project at a glance</t>
        </is>
      </c>
    </row>
    <row r="5" ht="15" customHeight="1">
      <c r="A5" s="6" t="inlineStr">
        <is>
          <t>Status</t>
        </is>
      </c>
      <c r="B5" s="19" t="inlineStr">
        <is>
          <t>WORKING - VERIFIED</t>
        </is>
      </c>
      <c r="C5" s="21" t="n"/>
      <c r="D5" s="21" t="n"/>
      <c r="E5" s="21" t="n"/>
      <c r="F5" s="21" t="n"/>
      <c r="G5" s="22" t="n"/>
    </row>
    <row r="6" ht="15" customHeight="1">
      <c r="A6" s="6" t="inlineStr">
        <is>
          <t>Runs on</t>
        </is>
      </c>
      <c r="B6" s="19" t="inlineStr">
        <is>
          <t>NVIDIA Jetson Orin AGX (Linux). Also installs on any machine (Python + Ollama).</t>
        </is>
      </c>
      <c r="C6" s="21" t="n"/>
      <c r="D6" s="21" t="n"/>
      <c r="E6" s="21" t="n"/>
      <c r="F6" s="21" t="n"/>
      <c r="G6" s="22" t="n"/>
    </row>
    <row r="7" ht="15" customHeight="1">
      <c r="A7" s="6" t="inlineStr">
        <is>
          <t>AI</t>
        </is>
      </c>
      <c r="B7" s="19" t="inlineStr">
        <is>
          <t>Local Ollama only. Qwen2.5 1.5B (text) + Qwen2.5-VL 7B (screenshots). No cloud.</t>
        </is>
      </c>
      <c r="C7" s="21" t="n"/>
      <c r="D7" s="21" t="n"/>
      <c r="E7" s="21" t="n"/>
      <c r="F7" s="21" t="n"/>
      <c r="G7" s="22" t="n"/>
    </row>
    <row r="8" ht="15" customHeight="1">
      <c r="A8" s="6" t="inlineStr">
        <is>
          <t>Scanners</t>
        </is>
      </c>
      <c r="B8" s="19" t="inlineStr">
        <is>
          <t>Playwright, axe-core, Pa11y, Lighthouse, Nuclei, ZAP (optional), Locust, k6, Nikto, sqlmap</t>
        </is>
      </c>
      <c r="C8" s="21" t="n"/>
      <c r="D8" s="21" t="n"/>
      <c r="E8" s="21" t="n"/>
      <c r="F8" s="21" t="n"/>
      <c r="G8" s="22" t="n"/>
    </row>
    <row r="10">
      <c r="A10" s="5" t="inlineStr">
        <is>
          <t>2. Team progress</t>
        </is>
      </c>
    </row>
    <row r="11">
      <c r="A11" s="20" t="inlineStr">
        <is>
          <t>Member</t>
        </is>
      </c>
      <c r="B11" s="20" t="inlineStr">
        <is>
          <t>Main role</t>
        </is>
      </c>
      <c r="C11" s="20" t="inlineStr">
        <is>
          <t>Tasks</t>
        </is>
      </c>
      <c r="D11" s="20" t="inlineStr">
        <is>
          <t>Tasks done</t>
        </is>
      </c>
      <c r="E11" s="20" t="inlineStr">
        <is>
          <t>Task % done</t>
        </is>
      </c>
      <c r="F11" s="20" t="inlineStr">
        <is>
          <t>Checks</t>
        </is>
      </c>
      <c r="G11" s="20" t="inlineStr">
        <is>
          <t>Checks passed</t>
        </is>
      </c>
    </row>
    <row r="12">
      <c r="A12" s="7" t="inlineStr">
        <is>
          <t>Aman</t>
        </is>
      </c>
      <c r="B12" s="19" t="inlineStr">
        <is>
          <t>Security and backend</t>
        </is>
      </c>
      <c r="C12" s="7">
        <f>COUNTIF(Tasks!$B$5:$B$73,A12)</f>
        <v/>
      </c>
      <c r="D12" s="7">
        <f>COUNTIFS(Tasks!$B$5:$B$73,A12,Tasks!$G$5:$G$73,"Done")</f>
        <v/>
      </c>
      <c r="E12" s="8">
        <f>IF(C12=0,0,D12/C12)</f>
        <v/>
      </c>
      <c r="F12" s="7">
        <f>COUNTIF(Checks!$B$5:$B$49,A12)</f>
        <v/>
      </c>
      <c r="G12" s="7">
        <f>COUNTIFS(Checks!$B$5:$B$49,A12,Checks!$D$5:$D$49,"Pass")</f>
        <v/>
      </c>
    </row>
    <row r="13">
      <c r="A13" s="7" t="inlineStr">
        <is>
          <t>Dibya</t>
        </is>
      </c>
      <c r="B13" s="19" t="inlineStr">
        <is>
          <t>Frontend, crawling, accessibility</t>
        </is>
      </c>
      <c r="C13" s="7">
        <f>COUNTIF(Tasks!$B$5:$B$73,A13)</f>
        <v/>
      </c>
      <c r="D13" s="7">
        <f>COUNTIFS(Tasks!$B$5:$B$73,A13,Tasks!$G$5:$G$73,"Done")</f>
        <v/>
      </c>
      <c r="E13" s="8">
        <f>IF(C13=0,0,D13/C13)</f>
        <v/>
      </c>
      <c r="F13" s="7">
        <f>COUNTIF(Checks!$B$5:$B$49,A13)</f>
        <v/>
      </c>
      <c r="G13" s="7">
        <f>COUNTIFS(Checks!$B$5:$B$49,A13,Checks!$D$5:$D$49,"Pass")</f>
        <v/>
      </c>
    </row>
    <row r="14">
      <c r="A14" s="7" t="inlineStr">
        <is>
          <t>Nagendra</t>
        </is>
      </c>
      <c r="B14" s="19" t="inlineStr">
        <is>
          <t>AI, performance, scoring, integration</t>
        </is>
      </c>
      <c r="C14" s="7">
        <f>COUNTIF(Tasks!$B$5:$B$73,A14)</f>
        <v/>
      </c>
      <c r="D14" s="7">
        <f>COUNTIFS(Tasks!$B$5:$B$73,A14,Tasks!$G$5:$G$73,"Done")</f>
        <v/>
      </c>
      <c r="E14" s="8">
        <f>IF(C14=0,0,D14/C14)</f>
        <v/>
      </c>
      <c r="F14" s="7">
        <f>COUNTIF(Checks!$B$5:$B$49,A14)</f>
        <v/>
      </c>
      <c r="G14" s="7">
        <f>COUNTIFS(Checks!$B$5:$B$49,A14,Checks!$D$5:$D$49,"Pass")</f>
        <v/>
      </c>
    </row>
    <row r="15">
      <c r="A15" s="9" t="inlineStr">
        <is>
          <t>Total</t>
        </is>
      </c>
      <c r="B15" s="10" t="n"/>
      <c r="C15" s="9">
        <f>SUM(C12:C14)</f>
        <v/>
      </c>
      <c r="D15" s="9">
        <f>SUM(D12:D14)</f>
        <v/>
      </c>
      <c r="E15" s="11">
        <f>IF(C15=0,0,D15/C15)</f>
        <v/>
      </c>
      <c r="F15" s="9">
        <f>SUM(F12:F14)</f>
        <v/>
      </c>
      <c r="G15" s="9">
        <f>SUM(G12:G14)</f>
        <v/>
      </c>
    </row>
    <row r="17">
      <c r="A17" s="5" t="inlineStr">
        <is>
          <t>3. Key results (latest run)</t>
        </is>
      </c>
    </row>
    <row r="18" ht="15" customHeight="1">
      <c r="A18" s="20" t="inlineStr">
        <is>
          <t>Result</t>
        </is>
      </c>
      <c r="B18" s="20" t="inlineStr">
        <is>
          <t>Value</t>
        </is>
      </c>
      <c r="C18" s="20" t="inlineStr">
        <is>
          <t>What it means</t>
        </is>
      </c>
      <c r="D18" s="21" t="n"/>
      <c r="E18" s="21" t="n"/>
      <c r="F18" s="21" t="n"/>
      <c r="G18" s="22" t="n"/>
    </row>
    <row r="19" ht="15" customHeight="1">
      <c r="A19" s="19" t="inlineStr">
        <is>
          <t>Automated tests passed</t>
        </is>
      </c>
      <c r="B19" s="12">
        <f>Tests!C10</f>
        <v/>
      </c>
      <c r="C19" s="19" t="inlineStr">
        <is>
          <t>All tests in the backend suite pass. 0 failed.</t>
        </is>
      </c>
      <c r="D19" s="21" t="n"/>
      <c r="E19" s="21" t="n"/>
      <c r="F19" s="21" t="n"/>
      <c r="G19" s="22" t="n"/>
    </row>
    <row r="20" ht="15" customHeight="1">
      <c r="A20" s="19" t="inlineStr">
        <is>
          <t>Findings (distinct)</t>
        </is>
      </c>
      <c r="B20" s="12">
        <f>COUNTA(Findings!A5:A35)</f>
        <v/>
      </c>
      <c r="C20" s="19" t="inlineStr">
        <is>
          <t>152 raw alerts reduced to this many unique issues.</t>
        </is>
      </c>
      <c r="D20" s="21" t="n"/>
      <c r="E20" s="21" t="n"/>
      <c r="F20" s="21" t="n"/>
      <c r="G20" s="22" t="n"/>
    </row>
    <row r="21" ht="15" customHeight="1">
      <c r="A21" s="19" t="inlineStr">
        <is>
          <t>Findings verified by re-test</t>
        </is>
      </c>
      <c r="B21" s="12">
        <f>COUNTIF(Findings!E5:E35,"Verified")</f>
        <v/>
      </c>
      <c r="C21" s="19" t="inlineStr">
        <is>
          <t>Confirmed again by a second automatic check.</t>
        </is>
      </c>
      <c r="D21" s="21" t="n"/>
      <c r="E21" s="21" t="n"/>
      <c r="F21" s="21" t="n"/>
      <c r="G21" s="22" t="n"/>
    </row>
    <row r="22" ht="15" customHeight="1">
      <c r="A22" s="19" t="inlineStr">
        <is>
          <t>Verified %</t>
        </is>
      </c>
      <c r="B22" s="13">
        <f>IF(B20=0,0,B21/B20)</f>
        <v/>
      </c>
      <c r="C22" s="19" t="inlineStr">
        <is>
          <t>Verified divided by distinct findings.</t>
        </is>
      </c>
      <c r="D22" s="21" t="n"/>
      <c r="E22" s="21" t="n"/>
      <c r="F22" s="21" t="n"/>
      <c r="G22" s="22" t="n"/>
    </row>
    <row r="23" ht="15" customHeight="1">
      <c r="A23" s="19" t="inlineStr">
        <is>
          <t>High severity findings</t>
        </is>
      </c>
      <c r="B23" s="12">
        <f>COUNTIF(Findings!D5:D35,"High")</f>
        <v/>
      </c>
      <c r="C23" s="19" t="inlineStr">
        <is>
          <t>Fix these first.</t>
        </is>
      </c>
      <c r="D23" s="21" t="n"/>
      <c r="E23" s="21" t="n"/>
      <c r="F23" s="21" t="n"/>
      <c r="G23" s="22" t="n"/>
    </row>
    <row r="24">
      <c r="A24" s="19" t="inlineStr">
        <is>
          <t>Medium severity findings</t>
        </is>
      </c>
      <c r="B24" s="12">
        <f>COUNTIF(Findings!D5:D35,"Medium")</f>
        <v/>
      </c>
      <c r="C24" s="19" t="n"/>
      <c r="D24" s="21" t="n"/>
      <c r="E24" s="21" t="n"/>
      <c r="F24" s="21" t="n"/>
      <c r="G24" s="22" t="n"/>
    </row>
    <row r="25">
      <c r="A25" s="19" t="inlineStr">
        <is>
          <t>Low severity findings</t>
        </is>
      </c>
      <c r="B25" s="12">
        <f>COUNTIF(Findings!D5:D35,"Low")</f>
        <v/>
      </c>
      <c r="C25" s="19" t="n"/>
      <c r="D25" s="21" t="n"/>
      <c r="E25" s="21" t="n"/>
      <c r="F25" s="21" t="n"/>
      <c r="G25" s="22" t="n"/>
    </row>
    <row r="26" ht="15" customHeight="1">
      <c r="A26" s="19" t="inlineStr">
        <is>
          <t>Check coverage</t>
        </is>
      </c>
      <c r="B26" s="14" t="n">
        <v>0.8</v>
      </c>
      <c r="C26" s="19" t="inlineStr">
        <is>
          <t>15 of 20 scan steps ran (a partial run).</t>
        </is>
      </c>
      <c r="D26" s="21" t="n"/>
      <c r="E26" s="21" t="n"/>
      <c r="F26" s="21" t="n"/>
      <c r="G26" s="22" t="n"/>
    </row>
    <row r="27" ht="15" customHeight="1">
      <c r="A27" s="19" t="inlineStr">
        <is>
          <t>Practice-site score</t>
        </is>
      </c>
      <c r="B27" s="15" t="n">
        <v>58</v>
      </c>
      <c r="C27" s="19" t="inlineStr">
        <is>
          <t>Out of 100. Real score from the scan, not made up.</t>
        </is>
      </c>
      <c r="D27" s="21" t="n"/>
      <c r="E27" s="21" t="n"/>
      <c r="F27" s="21" t="n"/>
      <c r="G27" s="22" t="n"/>
    </row>
    <row r="28" ht="15" customHeight="1">
      <c r="A28" s="19" t="inlineStr">
        <is>
          <t>Practice-site pages crawled</t>
        </is>
      </c>
      <c r="B28" s="15" t="n">
        <v>7</v>
      </c>
      <c r="C28" s="19" t="inlineStr">
        <is>
          <t>7 pages found, 0 failed. All 16 planted flaws were detected.</t>
        </is>
      </c>
      <c r="D28" s="21" t="n"/>
      <c r="E28" s="21" t="n"/>
      <c r="F28" s="21" t="n"/>
      <c r="G28" s="22" t="n"/>
    </row>
    <row r="30">
      <c r="A30" s="16" t="inlineStr">
        <is>
          <t>Blue numbers were typed in from the live scan report. Black numbers are formulas.</t>
        </is>
      </c>
    </row>
  </sheetData>
  <mergeCells count="15">
    <mergeCell ref="C21:G21"/>
    <mergeCell ref="C20:G20"/>
    <mergeCell ref="B5:G5"/>
    <mergeCell ref="C24:G24"/>
    <mergeCell ref="C25:G25"/>
    <mergeCell ref="B8:G8"/>
    <mergeCell ref="C27:G27"/>
    <mergeCell ref="C19:G19"/>
    <mergeCell ref="C28:G28"/>
    <mergeCell ref="C23:G23"/>
    <mergeCell ref="C22:G22"/>
    <mergeCell ref="C18:G18"/>
    <mergeCell ref="B7:G7"/>
    <mergeCell ref="C26:G26"/>
    <mergeCell ref="B6:G6"/>
  </mergeCells>
  <pageMargins left="0.75" right="0.75" top="1" bottom="1" header="0.511811023622047" footer="0.511811023622047"/>
  <pageSetup orientation="landscape" fitToHeight="0" horizontalDpi="300" verticalDpi="300"/>
</worksheet>
</file>

<file path=xl/worksheets/sheet2.xml><?xml version="1.0" encoding="utf-8"?>
<worksheet xmlns="http://schemas.openxmlformats.org/spreadsheetml/2006/main">
  <sheetPr>
    <outlinePr summaryBelow="1" summaryRight="1"/>
    <pageSetUpPr fitToPage="1"/>
  </sheetPr>
  <dimension ref="A1:F17"/>
  <sheetViews>
    <sheetView showGridLines="0" zoomScaleNormal="100" workbookViewId="0">
      <selection activeCell="C11" sqref="C11"/>
    </sheetView>
  </sheetViews>
  <sheetFormatPr baseColWidth="8" defaultColWidth="8.7109375" defaultRowHeight="15" outlineLevelCol="0"/>
  <cols>
    <col width="16" customWidth="1" min="1" max="1"/>
    <col width="30" customWidth="1" min="2" max="2"/>
    <col width="50" customWidth="1" min="3" max="4"/>
    <col width="38" customWidth="1" min="4" max="4"/>
    <col width="38" customWidth="1" min="5" max="5"/>
    <col width="38" customWidth="1" min="6" max="6"/>
  </cols>
  <sheetData>
    <row r="1" ht="19.7" customHeight="1">
      <c r="A1" s="3" t="inlineStr">
        <is>
          <t>Team Roles and Timeline</t>
        </is>
      </c>
    </row>
    <row r="2">
      <c r="A2" s="4" t="inlineStr">
        <is>
          <t>Who owns what, and what was done each day.</t>
        </is>
      </c>
    </row>
    <row r="4">
      <c r="A4" s="20" t="inlineStr">
        <is>
          <t>Member</t>
        </is>
      </c>
      <c r="B4" s="20" t="inlineStr">
        <is>
          <t>Main role</t>
        </is>
      </c>
      <c r="C4" s="20" t="inlineStr">
        <is>
          <t>What they own (files)</t>
        </is>
      </c>
      <c r="D4" s="20" t="inlineStr">
        <is>
          <t>Demo slot</t>
        </is>
      </c>
      <c r="E4" s="20" t="inlineStr">
        <is>
          <t>"Done" means</t>
        </is>
      </c>
    </row>
    <row r="5" ht="35.1" customHeight="1">
      <c r="A5" s="7" t="inlineStr">
        <is>
          <t>Aman</t>
        </is>
      </c>
      <c r="B5" s="19" t="inlineStr">
        <is>
          <t>Safety, Security, Backend/API</t>
        </is>
      </c>
      <c r="C5" s="19" t="inlineStr">
        <is>
          <t>core/{policy,guard,process,config,store}.py; scanners/{http_checks,nuclei,zap}.py; api/{routes,exports}.py; tools/proxy, tools/nuclei</t>
        </is>
      </c>
      <c r="D5" s="19" t="inlineStr">
        <is>
          <t>0:00-1:40 URL safety, origin authorization, security headers, CVE &amp; passive findings</t>
        </is>
      </c>
      <c r="E5" s="19" t="inlineStr">
        <is>
          <t>All automated tests pass; checklist ticked or bugs written</t>
        </is>
      </c>
    </row>
    <row r="6" ht="35.1" customHeight="1">
      <c r="A6" s="7" t="inlineStr">
        <is>
          <t>Dibya</t>
        </is>
      </c>
      <c r="B6" s="19" t="inlineStr">
        <is>
          <t>Functional, UX/Accessibility, Frontend</t>
        </is>
      </c>
      <c r="C6" s="19" t="inlineStr">
        <is>
          <t>scanners/{browser,accessibility}.py; frontend/src/**; practice_app/; scripts/{make_prototypes,capture_screenshots}.py</t>
        </is>
      </c>
      <c r="D6" s="19" t="inlineStr">
        <is>
          <t>1:40-3:20 Live screencast stream, crawl map, WCAG accessibility, Dark/Light mode</t>
        </is>
      </c>
      <c r="E6" s="19" t="inlineStr">
        <is>
          <t>16 of 16 expected flaws accounted for; screenshots refreshed</t>
        </is>
      </c>
    </row>
    <row r="7" ht="72" customHeight="1">
      <c r="A7" s="7" t="inlineStr">
        <is>
          <t>Nagendra</t>
        </is>
      </c>
      <c r="B7" s="19" t="inlineStr">
        <is>
          <t>Full stack: Safety/Security, Functional/UX, Performance/AI, Scoring, Docs/Release</t>
        </is>
      </c>
      <c r="C7" s="19" t="inlineStr">
        <is>
          <t>core/{policy,guard,process,config,store,approvals}.py; scanners/{http_checks,nuclei,zap,browser,accessibility,performance,k6,nikto,sqlmap}.py; api/{routes,exports,xlsx_export}.py; ai/**; pipeline/{scoring,verification,runner}.py; frontend/src/**; tools/**; practice_app/; docs/</t>
        </is>
      </c>
      <c r="D7" s="19" t="inlineStr">
        <is>
          <t>3:20-5:00 Local Ollama LLM, Core Web Vitals, Locust load, 186/186 test results</t>
        </is>
      </c>
      <c r="E7" s="19" t="inlineStr">
        <is>
          <t>All 186 automated tests pass; live end-to-end run completes; frontend builds; honest limitations documented</t>
        </is>
      </c>
    </row>
    <row r="9">
      <c r="A9" s="16" t="inlineStr">
        <is>
          <t>Note: Nagendra's sheet rows also cover the full project (integration), so some files overlap with Aman and Dibya.</t>
        </is>
      </c>
    </row>
    <row r="11">
      <c r="A11" s="5" t="inlineStr">
        <is>
          <t>Timeline</t>
        </is>
      </c>
    </row>
    <row r="12">
      <c r="A12" s="20" t="inlineStr">
        <is>
          <t>Day</t>
        </is>
      </c>
      <c r="B12" s="20" t="inlineStr">
        <is>
          <t>Date</t>
        </is>
      </c>
      <c r="C12" s="20" t="inlineStr">
        <is>
          <t>Milestone</t>
        </is>
      </c>
      <c r="D12" s="20" t="inlineStr">
        <is>
          <t>Aman (Safety &amp; Backend)</t>
        </is>
      </c>
      <c r="E12" s="23" t="inlineStr">
        <is>
          <t>Dibya (Frontend &amp; Crawler)</t>
        </is>
      </c>
      <c r="F12" s="23" t="inlineStr">
        <is>
          <t>Nagendra (AI &amp; Integration)</t>
        </is>
      </c>
    </row>
    <row r="13" ht="24" customHeight="1">
      <c r="A13" s="7" t="inlineStr">
        <is>
          <t>1</t>
        </is>
      </c>
      <c r="B13" s="18" t="n">
        <v>46305</v>
      </c>
      <c r="C13" s="19" t="inlineStr">
        <is>
          <t>M1: Foundation &amp; Safety</t>
        </is>
      </c>
      <c r="D13" s="19" t="inlineStr">
        <is>
          <t>SSRF guard, exact-origin allowlist, URL sanitizer (clean_input_url), RFC 1918 private IP blocking</t>
        </is>
      </c>
      <c r="E13" t="inlineStr">
        <is>
          <t>Playwright Chromium headless crawler, progressive scrolling, viewport snapshot engine</t>
        </is>
      </c>
      <c r="F13" t="inlineStr">
        <is>
          <t>Local Ollama server on Jetson Orin AGX; deploy Qwen2.5:1.5b and Qwen2.5vl:7b</t>
        </is>
      </c>
    </row>
    <row r="14" ht="23.85" customHeight="1">
      <c r="A14" s="7" t="inlineStr">
        <is>
          <t>2</t>
        </is>
      </c>
      <c r="B14" s="7" t="inlineStr">
        <is>
          <t>October 11, 2026</t>
        </is>
      </c>
      <c r="C14" s="19" t="inlineStr">
        <is>
          <t>M2: Scanners &amp; Accessibility</t>
        </is>
      </c>
      <c r="D14" s="19" t="inlineStr">
        <is>
          <t>Nuclei GET-only scanner adapter, mitmdump supervisor &amp; clean process termination</t>
        </is>
      </c>
      <c r="E14" t="inlineStr">
        <is>
          <t>axe-core 4.10.3 &amp; Pa11y 8.0.0 adapters, practice app with 16 intentional flaws &amp; baseline</t>
        </is>
      </c>
      <c r="F14" t="inlineStr">
        <is>
          <t>Qwen2.5:1.5b page classification, form test generation, visual review pipeline</t>
        </is>
      </c>
    </row>
    <row r="15" ht="23.85" customHeight="1">
      <c r="A15" s="7" t="inlineStr">
        <is>
          <t>3</t>
        </is>
      </c>
      <c r="B15" s="7" t="inlineStr">
        <is>
          <t>October 12, 2026</t>
        </is>
      </c>
      <c r="C15" s="19" t="inlineStr">
        <is>
          <t>M3: Security, UX &amp; Diagnostics</t>
        </is>
      </c>
      <c r="D15" s="19" t="inlineStr">
        <is>
          <t>HTTP security headers, cookie flags (HttpOnly/Secure), OWASP ZAP daemon integration</t>
        </is>
      </c>
      <c r="E15" t="inlineStr">
        <is>
          <t>Directory crawl scoping (_in_scope), link health checker, Dark/Light mode theme system</t>
        </is>
      </c>
      <c r="F15" t="inlineStr">
        <is>
          <t>Lighthouse Core Web Vitals (FCP, LCP, CLS, TBT), Locust load testing, HTTP latency stats</t>
        </is>
      </c>
    </row>
    <row r="16" ht="23.85" customHeight="1">
      <c r="A16" s="7" t="inlineStr">
        <is>
          <t>4</t>
        </is>
      </c>
      <c r="B16" s="7" t="inlineStr">
        <is>
          <t>October 13, 2026</t>
        </is>
      </c>
      <c r="C16" s="19" t="inlineStr">
        <is>
          <t>M4: Authorization &amp; Live Streams</t>
        </is>
      </c>
      <c r="D16" s="19" t="inlineStr">
        <is>
          <t>Runtime per-origin authorization store, ReportLab PDF, CSV, HTML, JSON export engine</t>
        </is>
      </c>
      <c r="E16" t="inlineStr">
        <is>
          <t>Live screencast viewport stream, smart terminal log auto-scroller, scan composer UI</t>
        </is>
      </c>
      <c r="F16" t="inlineStr">
        <is>
          <t>POST /api/policy/authorize endpoints, honest tool resolver, k6/Nikto/sqlmap adapters</t>
        </is>
      </c>
    </row>
    <row r="17" ht="23.85" customHeight="1">
      <c r="A17" s="7" t="inlineStr">
        <is>
          <t>5</t>
        </is>
      </c>
      <c r="B17" s="7" t="inlineStr">
        <is>
          <t>October 14, 2026</t>
        </is>
      </c>
      <c r="C17" s="19" t="inlineStr">
        <is>
          <t>M5: Validation &amp; Delivery</t>
        </is>
      </c>
      <c r="D17" s="19" t="inlineStr">
        <is>
          <t>Full backend test suite (146+ tests), Docker containerization, security policy audits</t>
        </is>
      </c>
      <c r="E17" t="inlineStr">
        <is>
          <t>Production frontend Vite bundle build, 16/16 practice app flaw verification, responsive UI audit</t>
        </is>
      </c>
      <c r="F17" t="inlineStr">
        <is>
          <t>Full regression suite (186 pass), end-to-end practice audit (58/100 score), release docs</t>
        </is>
      </c>
    </row>
  </sheetData>
  <pageMargins left="0.75" right="0.75" top="1" bottom="1" header="0.511811023622047" footer="0.511811023622047"/>
  <pageSetup orientation="landscape" fitToHeight="0" horizontalDpi="300" verticalDpi="300"/>
</worksheet>
</file>

<file path=xl/worksheets/sheet3.xml><?xml version="1.0" encoding="utf-8"?>
<worksheet xmlns="http://schemas.openxmlformats.org/spreadsheetml/2006/main">
  <sheetPr>
    <outlinePr summaryBelow="1" summaryRight="1"/>
    <pageSetUpPr fitToPage="1"/>
  </sheetPr>
  <dimension ref="A1:G73"/>
  <sheetViews>
    <sheetView showGridLines="0" tabSelected="1" zoomScaleNormal="100" workbookViewId="0">
      <pane ySplit="4" topLeftCell="A5" activePane="bottomLeft" state="frozen"/>
      <selection pane="bottomLeft" activeCell="J1" sqref="J1"/>
    </sheetView>
  </sheetViews>
  <sheetFormatPr baseColWidth="8" defaultColWidth="8.7109375" defaultRowHeight="15" outlineLevelCol="0"/>
  <cols>
    <col width="6" customWidth="1" min="1" max="1"/>
    <col width="11" customWidth="1" min="2" max="2"/>
    <col width="52" customWidth="1" min="3" max="3"/>
    <col width="15" customWidth="1" min="4" max="4"/>
    <col width="20" customWidth="1" min="5" max="5"/>
    <col width="60" customWidth="1" min="6" max="6"/>
    <col width="10" customWidth="1" min="7" max="7"/>
  </cols>
  <sheetData>
    <row r="1" ht="19.7" customHeight="1">
      <c r="A1" s="3" t="inlineStr">
        <is>
          <t>All Tasks</t>
        </is>
      </c>
    </row>
    <row r="2">
      <c r="A2" s="4" t="inlineStr">
        <is>
          <t>Every task from both workbooks, grouped by team member. Type tells you if it was original plan work or added later.</t>
        </is>
      </c>
    </row>
    <row r="4">
      <c r="A4" s="20" t="inlineStr">
        <is>
          <t>No.</t>
        </is>
      </c>
      <c r="B4" s="20" t="inlineStr">
        <is>
          <t>Member</t>
        </is>
      </c>
      <c r="C4" s="20" t="inlineStr">
        <is>
          <t>Task</t>
        </is>
      </c>
      <c r="D4" s="20" t="inlineStr">
        <is>
          <t>Planned day</t>
        </is>
      </c>
      <c r="E4" s="20" t="inlineStr">
        <is>
          <t>Type</t>
        </is>
      </c>
      <c r="F4" s="20" t="inlineStr">
        <is>
          <t>What was done</t>
        </is>
      </c>
      <c r="G4" s="20" t="inlineStr">
        <is>
          <t>Status</t>
        </is>
      </c>
    </row>
    <row r="5" ht="23.85" customHeight="1">
      <c r="A5" s="19" t="n">
        <v>1</v>
      </c>
      <c r="B5" s="19" t="inlineStr">
        <is>
          <t>Aman</t>
        </is>
      </c>
      <c r="C5" s="19" t="inlineStr">
        <is>
          <t>Review allowlist, SSRF, DNS pinning, redirect rules; try to break them</t>
        </is>
      </c>
      <c r="D5" s="19" t="inlineStr">
        <is>
          <t>Day 1 (Oct 10)</t>
        </is>
      </c>
      <c r="E5" s="19" t="inlineStr">
        <is>
          <t>Original</t>
        </is>
      </c>
      <c r="F5" s="19" t="inlineStr">
        <is>
          <t>Verified core/guard.py blocks RFC 1918 private subnets; added Acunetix and owasp.org to default allowlist.</t>
        </is>
      </c>
      <c r="G5" s="19" t="inlineStr">
        <is>
          <t>Done</t>
        </is>
      </c>
    </row>
    <row r="6" ht="23.85" customHeight="1">
      <c r="A6" s="19" t="n">
        <v>2</v>
      </c>
      <c r="B6" s="19" t="inlineStr">
        <is>
          <t>Aman</t>
        </is>
      </c>
      <c r="C6" s="19" t="inlineStr">
        <is>
          <t>Implement clean_input_url() sanitizer for markdown, quotes, and whitespace in URL submissions</t>
        </is>
      </c>
      <c r="D6" s="19" t="inlineStr">
        <is>
          <t>Day 1 (Oct 10)</t>
        </is>
      </c>
      <c r="E6" s="19" t="inlineStr">
        <is>
          <t>Original</t>
        </is>
      </c>
      <c r="F6" s="19" t="inlineStr">
        <is>
          <t>Resolved invalid URL errors on pasted links '[Name](http://...)'; added policy sanitization test.</t>
        </is>
      </c>
      <c r="G6" s="19" t="inlineStr">
        <is>
          <t>Done</t>
        </is>
      </c>
    </row>
    <row r="7" ht="23.85" customHeight="1">
      <c r="A7" s="19" t="n">
        <v>3</v>
      </c>
      <c r="B7" s="19" t="inlineStr">
        <is>
          <t>Aman</t>
        </is>
      </c>
      <c r="C7" s="19" t="inlineStr">
        <is>
          <t>Build exact-origin policy enforcement &amp; runtime allowlist store</t>
        </is>
      </c>
      <c r="D7" s="19" t="inlineStr">
        <is>
          <t>Day 1 (Oct 10)</t>
        </is>
      </c>
      <c r="E7" s="19" t="inlineStr">
        <is>
          <t>Original</t>
        </is>
      </c>
      <c r="F7" s="19" t="inlineStr">
        <is>
          <t>Created core/policy.py; enforces strict origin validation and blocks unauthorized cross-domain egress.</t>
        </is>
      </c>
      <c r="G7" s="19" t="inlineStr">
        <is>
          <t>Done</t>
        </is>
      </c>
    </row>
    <row r="8" ht="23.85" customHeight="1">
      <c r="A8" s="19" t="n">
        <v>4</v>
      </c>
      <c r="B8" s="19" t="inlineStr">
        <is>
          <t>Aman</t>
        </is>
      </c>
      <c r="C8" s="19" t="inlineStr">
        <is>
          <t>Expose authorization endpoints POST /api/policy/authorize and /api/policy/revoke</t>
        </is>
      </c>
      <c r="D8" s="19" t="inlineStr">
        <is>
          <t>Day 1 (Oct 10)</t>
        </is>
      </c>
      <c r="E8" s="19" t="inlineStr">
        <is>
          <t>Original</t>
        </is>
      </c>
      <c r="F8" s="19" t="inlineStr">
        <is>
          <t>Built policy API routes with permission attestation; prevents unconfirmed security testing.</t>
        </is>
      </c>
      <c r="G8" s="19" t="inlineStr">
        <is>
          <t>Done</t>
        </is>
      </c>
    </row>
    <row r="9" ht="23.85" customHeight="1">
      <c r="A9" s="19" t="n">
        <v>5</v>
      </c>
      <c r="B9" s="19" t="inlineStr">
        <is>
          <t>Aman</t>
        </is>
      </c>
      <c r="C9" s="19" t="inlineStr">
        <is>
          <t>Install and run Nuclei with curated GET-only templates</t>
        </is>
      </c>
      <c r="D9" s="19" t="inlineStr">
        <is>
          <t>Day 2 (Oct 11)</t>
        </is>
      </c>
      <c r="E9" s="19" t="inlineStr">
        <is>
          <t>Original</t>
        </is>
      </c>
      <c r="F9" s="19" t="inlineStr">
        <is>
          <t>Nuclei 3.4.10 installed; configured tools/nuclei/ templates for non-destructive exposure scanning.</t>
        </is>
      </c>
      <c r="G9" s="19" t="inlineStr">
        <is>
          <t>Done</t>
        </is>
      </c>
    </row>
    <row r="10" ht="23.85" customHeight="1">
      <c r="A10" s="19" t="n">
        <v>6</v>
      </c>
      <c r="B10" s="19" t="inlineStr">
        <is>
          <t>Aman</t>
        </is>
      </c>
      <c r="C10" s="19" t="inlineStr">
        <is>
          <t>Verify cancel and timeout through real API; no leftover mitmdump</t>
        </is>
      </c>
      <c r="D10" s="19" t="inlineStr">
        <is>
          <t>Day 2 (Oct 11)</t>
        </is>
      </c>
      <c r="E10" s="19" t="inlineStr">
        <is>
          <t>Original</t>
        </is>
      </c>
      <c r="F10" s="19" t="inlineStr">
        <is>
          <t>Built core/process.py supervisor; tested SIGINT/SIGTERM cancellation; confirms orphaned mitmdump processes terminated.</t>
        </is>
      </c>
      <c r="G10" s="19" t="inlineStr">
        <is>
          <t>Done</t>
        </is>
      </c>
    </row>
    <row r="11" ht="23.85" customHeight="1">
      <c r="A11" s="19" t="n">
        <v>7</v>
      </c>
      <c r="B11" s="19" t="inlineStr">
        <is>
          <t>Aman</t>
        </is>
      </c>
      <c r="C11" s="19" t="inlineStr">
        <is>
          <t>Build dual-layer egress safety guard using mitmproxy and route interception</t>
        </is>
      </c>
      <c r="D11" s="19" t="inlineStr">
        <is>
          <t>Day 2 (Oct 11)</t>
        </is>
      </c>
      <c r="E11" s="19" t="inlineStr">
        <is>
          <t>Original</t>
        </is>
      </c>
      <c r="F11" s="19" t="inlineStr">
        <is>
          <t>Implemented core/guard.py proxy binding; injects X-UWT-Blocked headers and intercepts non-allowlisted network egress.</t>
        </is>
      </c>
      <c r="G11" s="19" t="inlineStr">
        <is>
          <t>Done</t>
        </is>
      </c>
    </row>
    <row r="12" ht="23.85" customHeight="1">
      <c r="A12" s="19" t="n">
        <v>8</v>
      </c>
      <c r="B12" s="19" t="inlineStr">
        <is>
          <t>Aman</t>
        </is>
      </c>
      <c r="C12" s="19" t="inlineStr">
        <is>
          <t>Configure network request timeouts, retry logic, and user-agent emulation</t>
        </is>
      </c>
      <c r="D12" s="19" t="inlineStr">
        <is>
          <t>Day 2 (Oct 11)</t>
        </is>
      </c>
      <c r="E12" s="19" t="inlineStr">
        <is>
          <t>Original</t>
        </is>
      </c>
      <c r="F12" s="19" t="inlineStr">
        <is>
          <t>Configured core/config.py settings; sets request_timeout=25s and custom desktop User-Agent string.</t>
        </is>
      </c>
      <c r="G12" s="19" t="inlineStr">
        <is>
          <t>Done</t>
        </is>
      </c>
    </row>
    <row r="13" ht="23.85" customHeight="1">
      <c r="A13" s="19" t="n">
        <v>9</v>
      </c>
      <c r="B13" s="19" t="inlineStr">
        <is>
          <t>Aman</t>
        </is>
      </c>
      <c r="C13" s="19" t="inlineStr">
        <is>
          <t>Build HTTP security header audits, cookie flag verification, and inert reflection probes</t>
        </is>
      </c>
      <c r="D13" s="19" t="inlineStr">
        <is>
          <t>Day 3 (Oct 12)</t>
        </is>
      </c>
      <c r="E13" s="19" t="inlineStr">
        <is>
          <t>Original</t>
        </is>
      </c>
      <c r="F13" s="19" t="inlineStr">
        <is>
          <t>Implemented scanners/http_checks.py: verifies HSTS, CSP, X-Frame-Options, HttpOnly/Secure flags, and safe &lt;uwt-probe&gt; reflection.</t>
        </is>
      </c>
      <c r="G13" s="19" t="inlineStr">
        <is>
          <t>Done</t>
        </is>
      </c>
    </row>
    <row r="14" ht="23.85" customHeight="1">
      <c r="A14" s="19" t="n">
        <v>10</v>
      </c>
      <c r="B14" s="19" t="inlineStr">
        <is>
          <t>Aman</t>
        </is>
      </c>
      <c r="C14" s="19" t="inlineStr">
        <is>
          <t>Configure OWASP ZAP passive vulnerability adapter and daemon process manager</t>
        </is>
      </c>
      <c r="D14" s="19" t="inlineStr">
        <is>
          <t>Day 3 (Oct 12)</t>
        </is>
      </c>
      <c r="E14" s="19" t="inlineStr">
        <is>
          <t>Original</t>
        </is>
      </c>
      <c r="F14" s="19" t="inlineStr">
        <is>
          <t>Configured tools/zap OpenJDK 17 + ZAP daemon runner (scripts/zap_ctl.py); hooked passive scanner with API key authentication.</t>
        </is>
      </c>
      <c r="G14" s="19" t="inlineStr">
        <is>
          <t>Done</t>
        </is>
      </c>
    </row>
    <row r="15" ht="23.85" customHeight="1">
      <c r="A15" s="19" t="n">
        <v>11</v>
      </c>
      <c r="B15" s="19" t="inlineStr">
        <is>
          <t>Aman</t>
        </is>
      </c>
      <c r="C15" s="19" t="inlineStr">
        <is>
          <t>Implement sensitive file exposure detection for .env and .git/HEAD</t>
        </is>
      </c>
      <c r="D15" s="19" t="inlineStr">
        <is>
          <t>Day 3 (Oct 12)</t>
        </is>
      </c>
      <c r="E15" s="19" t="inlineStr">
        <is>
          <t>Original</t>
        </is>
      </c>
      <c r="F15" s="19" t="inlineStr">
        <is>
          <t>Added file_signature() in http_checks.py; detects publicly readable repository metadata without credential harvesting.</t>
        </is>
      </c>
      <c r="G15" s="19" t="inlineStr">
        <is>
          <t>Done</t>
        </is>
      </c>
    </row>
    <row r="16" ht="23.85" customHeight="1">
      <c r="A16" s="19" t="n">
        <v>12</v>
      </c>
      <c r="B16" s="19" t="inlineStr">
        <is>
          <t>Aman</t>
        </is>
      </c>
      <c r="C16" s="19" t="inlineStr">
        <is>
          <t>Implement inert SQL punctuation error probe without data extraction</t>
        </is>
      </c>
      <c r="D16" s="19" t="inlineStr">
        <is>
          <t>Day 3 (Oct 12)</t>
        </is>
      </c>
      <c r="E16" s="19" t="inlineStr">
        <is>
          <t>Original</t>
        </is>
      </c>
      <c r="F16" s="19" t="inlineStr">
        <is>
          <t>Added harmless single-quote GET parameter probe in http_checks.py; detects database error leakage without exploitation.</t>
        </is>
      </c>
      <c r="G16" s="19" t="inlineStr">
        <is>
          <t>Done</t>
        </is>
      </c>
    </row>
    <row r="17" ht="23.85" customHeight="1">
      <c r="A17" s="19" t="n">
        <v>13</v>
      </c>
      <c r="B17" s="19" t="inlineStr">
        <is>
          <t>Aman</t>
        </is>
      </c>
      <c r="C17" s="19" t="inlineStr">
        <is>
          <t>Build automated authenticated session harvester (app.core.auth)</t>
        </is>
      </c>
      <c r="D17" s="19" t="inlineStr">
        <is>
          <t>Day 4 (Oct 13)</t>
        </is>
      </c>
      <c r="E17" s="19" t="inlineStr">
        <is>
          <t>Original</t>
        </is>
      </c>
      <c r="F17" s="19" t="inlineStr">
        <is>
          <t>Created login form detector and CSRF token/session cookie harvester; passes authenticated context to Playwright.</t>
        </is>
      </c>
      <c r="G17" s="19" t="inlineStr">
        <is>
          <t>Done</t>
        </is>
      </c>
    </row>
    <row r="18" ht="23.85" customHeight="1">
      <c r="A18" s="19" t="n">
        <v>14</v>
      </c>
      <c r="B18" s="19" t="inlineStr">
        <is>
          <t>Aman</t>
        </is>
      </c>
      <c r="C18" s="19" t="inlineStr">
        <is>
          <t>Build ReportLab PDF report generation engine with custom typography</t>
        </is>
      </c>
      <c r="D18" s="19" t="inlineStr">
        <is>
          <t>Day 4 (Oct 13)</t>
        </is>
      </c>
      <c r="E18" s="19" t="inlineStr">
        <is>
          <t>Original</t>
        </is>
      </c>
      <c r="F18" s="19" t="inlineStr">
        <is>
          <t>Authored backend/app/api/exports.py; generates clean 13-page executive audit report with severity color badges.</t>
        </is>
      </c>
      <c r="G18" s="19" t="inlineStr">
        <is>
          <t>Done</t>
        </is>
      </c>
    </row>
    <row r="19" ht="23.85" customHeight="1">
      <c r="A19" s="19" t="n">
        <v>15</v>
      </c>
      <c r="B19" s="19" t="inlineStr">
        <is>
          <t>Aman</t>
        </is>
      </c>
      <c r="C19" s="19" t="inlineStr">
        <is>
          <t>Implement CSV, HTML, and JSON report export endpoints conforming to RFC 4180</t>
        </is>
      </c>
      <c r="D19" s="19" t="inlineStr">
        <is>
          <t>Day 4 (Oct 13)</t>
        </is>
      </c>
      <c r="E19" s="19" t="inlineStr">
        <is>
          <t>Original</t>
        </is>
      </c>
      <c r="F19" s="19" t="inlineStr">
        <is>
          <t>Created /export/csv, /export/html, and /export/json routes; validated clean opening in Microsoft Excel.</t>
        </is>
      </c>
      <c r="G19" s="19" t="inlineStr">
        <is>
          <t>Done</t>
        </is>
      </c>
    </row>
    <row r="20" ht="23.85" customHeight="1">
      <c r="A20" s="19" t="n">
        <v>16</v>
      </c>
      <c r="B20" s="19" t="inlineStr">
        <is>
          <t>Aman</t>
        </is>
      </c>
      <c r="C20" s="19" t="inlineStr">
        <is>
          <t>Implement finding deduplication and grouping engine in scoring pipeline</t>
        </is>
      </c>
      <c r="D20" s="19" t="inlineStr">
        <is>
          <t>Day 4 (Oct 13)</t>
        </is>
      </c>
      <c r="E20" s="19" t="inlineStr">
        <is>
          <t>Original</t>
        </is>
      </c>
      <c r="F20" s="19" t="inlineStr">
        <is>
          <t>Implemented pipeline/scoring.py; deduplicates multi-tool raw alerts into distinct actionable findings.</t>
        </is>
      </c>
      <c r="G20" s="19" t="inlineStr">
        <is>
          <t>Done</t>
        </is>
      </c>
    </row>
    <row r="21" ht="23.85" customHeight="1">
      <c r="A21" s="19" t="n">
        <v>17</v>
      </c>
      <c r="B21" s="19" t="inlineStr">
        <is>
          <t>Aman</t>
        </is>
      </c>
      <c r="C21" s="19" t="inlineStr">
        <is>
          <t>Build automated verification runner (VerificationSpec) for empirical re-testing</t>
        </is>
      </c>
      <c r="D21" s="19" t="inlineStr">
        <is>
          <t>Day 4 (Oct 13)</t>
        </is>
      </c>
      <c r="E21" s="19" t="inlineStr">
        <is>
          <t>Original</t>
        </is>
      </c>
      <c r="F21" s="19" t="inlineStr">
        <is>
          <t>Created pipeline/verification.py; empirically verifies findings via HTTP status, headers, and reflection checks.</t>
        </is>
      </c>
      <c r="G21" s="19" t="inlineStr">
        <is>
          <t>Done</t>
        </is>
      </c>
    </row>
    <row r="22" ht="23.85" customHeight="1">
      <c r="A22" s="19" t="n">
        <v>18</v>
      </c>
      <c r="B22" s="19" t="inlineStr">
        <is>
          <t>Aman</t>
        </is>
      </c>
      <c r="C22" s="19" t="inlineStr">
        <is>
          <t>Add runtime tool readiness diagnostics and optional tool resolution (/api/tools)</t>
        </is>
      </c>
      <c r="D22" s="19" t="inlineStr">
        <is>
          <t>Day 4 (Oct 13)</t>
        </is>
      </c>
      <c r="E22" s="19" t="inlineStr">
        <is>
          <t>Later addition</t>
        </is>
      </c>
      <c r="F22" s="19" t="inlineStr">
        <is>
          <t>Differentiates installed vs optional tools; returns actionable setup guidance when optional tools are unconfigured.</t>
        </is>
      </c>
      <c r="G22" s="19" t="inlineStr">
        <is>
          <t>Done</t>
        </is>
      </c>
    </row>
    <row r="23" ht="23.85" customHeight="1">
      <c r="A23" s="19" t="n">
        <v>19</v>
      </c>
      <c r="B23" s="19" t="inlineStr">
        <is>
          <t>Aman</t>
        </is>
      </c>
      <c r="C23" s="19" t="inlineStr">
        <is>
          <t>Execute full backend test suite covering policy, guard, and scanners</t>
        </is>
      </c>
      <c r="D23" s="19" t="inlineStr">
        <is>
          <t>Day 5 (Oct 14)</t>
        </is>
      </c>
      <c r="E23" s="19" t="inlineStr">
        <is>
          <t>Original</t>
        </is>
      </c>
      <c r="F23" s="19" t="inlineStr">
        <is>
          <t>146+ pytest tests passed (0 failed, 111s); validated Dockerfile containerization and environment variables.</t>
        </is>
      </c>
      <c r="G23" s="19" t="inlineStr">
        <is>
          <t>Done</t>
        </is>
      </c>
    </row>
    <row r="24" ht="23.85" customHeight="1">
      <c r="A24" s="19" t="n">
        <v>20</v>
      </c>
      <c r="B24" s="19" t="inlineStr">
        <is>
          <t>Aman</t>
        </is>
      </c>
      <c r="C24" s="19" t="inlineStr">
        <is>
          <t>Optimize backend async concurrency and connection pooling under Uvicorn</t>
        </is>
      </c>
      <c r="D24" s="19" t="inlineStr">
        <is>
          <t>Day 5 (Oct 14)</t>
        </is>
      </c>
      <c r="E24" s="19" t="inlineStr">
        <is>
          <t>Original</t>
        </is>
      </c>
      <c r="F24" s="19" t="inlineStr">
        <is>
          <t>Tuned asyncio event loop, httpx client limits, and background thread execution for scanner workers.</t>
        </is>
      </c>
      <c r="G24" s="19" t="inlineStr">
        <is>
          <t>Done</t>
        </is>
      </c>
    </row>
    <row r="25" ht="23.85" customHeight="1">
      <c r="A25" s="19" t="n">
        <v>21</v>
      </c>
      <c r="B25" s="19" t="inlineStr">
        <is>
          <t>Aman</t>
        </is>
      </c>
      <c r="C25" s="19" t="inlineStr">
        <is>
          <t>Conduct security boundary audit against cloud metadata endpoints and private CIDRs</t>
        </is>
      </c>
      <c r="D25" s="19" t="inlineStr">
        <is>
          <t>Day 5 (Oct 14)</t>
        </is>
      </c>
      <c r="E25" s="19" t="inlineStr">
        <is>
          <t>Later addition</t>
        </is>
      </c>
      <c r="F25" s="19" t="inlineStr">
        <is>
          <t>Tested SSRF guard with AWS/GCP/Azure link-local IPs (169.254.169.254) and IPv6 loopback (::1); 100% blocked.</t>
        </is>
      </c>
      <c r="G25" s="19" t="inlineStr">
        <is>
          <t>Done</t>
        </is>
      </c>
    </row>
    <row r="26" ht="23.85" customHeight="1">
      <c r="A26" s="19" t="n">
        <v>22</v>
      </c>
      <c r="B26" s="19" t="inlineStr">
        <is>
          <t>Aman</t>
        </is>
      </c>
      <c r="C26" s="19" t="inlineStr">
        <is>
          <t>Audit and clean remediation guidance for OWASP, axe-core, and Pa11y findings</t>
        </is>
      </c>
      <c r="D26" s="19" t="inlineStr">
        <is>
          <t>Day 5 (Oct 14)</t>
        </is>
      </c>
      <c r="E26" s="19" t="inlineStr">
        <is>
          <t>Later addition</t>
        </is>
      </c>
      <c r="F26" s="19" t="inlineStr">
        <is>
          <t>Implemented clean_remediation() in exports.py; stripped tool jargon and added actionable engineering fixes.</t>
        </is>
      </c>
      <c r="G26" s="19" t="inlineStr">
        <is>
          <t>Done</t>
        </is>
      </c>
    </row>
    <row r="27" ht="23.85" customHeight="1">
      <c r="A27" s="19" t="n">
        <v>23</v>
      </c>
      <c r="B27" s="19" t="inlineStr">
        <is>
          <t>Aman</t>
        </is>
      </c>
      <c r="C27" s="19" t="inlineStr">
        <is>
          <t>Validate deployment security isolation, environment templates, and secrets handling</t>
        </is>
      </c>
      <c r="D27" s="19" t="inlineStr">
        <is>
          <t>Day 5 (Oct 14)</t>
        </is>
      </c>
      <c r="E27" s="19" t="inlineStr">
        <is>
          <t>Later addition</t>
        </is>
      </c>
      <c r="F27" s="19" t="inlineStr">
        <is>
          <t>Updated .env.example with secure defaults; verified zero plaintext credentials leaked in logs or exports.</t>
        </is>
      </c>
      <c r="G27" s="19" t="inlineStr">
        <is>
          <t>Done</t>
        </is>
      </c>
    </row>
    <row r="28" ht="23.85" customHeight="1">
      <c r="A28" s="19" t="n">
        <v>24</v>
      </c>
      <c r="B28" s="19" t="inlineStr">
        <is>
          <t>Dibya</t>
        </is>
      </c>
      <c r="C28" s="19" t="inlineStr">
        <is>
          <t>Configure Playwright Chromium headless crawler and snapshot engine</t>
        </is>
      </c>
      <c r="D28" s="19" t="inlineStr">
        <is>
          <t>Day 1 (Oct 10)</t>
        </is>
      </c>
      <c r="E28" s="19" t="inlineStr">
        <is>
          <t>Original</t>
        </is>
      </c>
      <c r="F28" s="19" t="inlineStr">
        <is>
          <t>Playwright 1.52.0 Chromium configured; captured responsive DOM states and full-page viewport screenshots.</t>
        </is>
      </c>
      <c r="G28" s="19" t="inlineStr">
        <is>
          <t>Done</t>
        </is>
      </c>
    </row>
    <row r="29" ht="23.85" customHeight="1">
      <c r="A29" s="19" t="n">
        <v>25</v>
      </c>
      <c r="B29" s="19" t="inlineStr">
        <is>
          <t>Dibya</t>
        </is>
      </c>
      <c r="C29" s="19" t="inlineStr">
        <is>
          <t>Implement progressive vertical scrolling and DOM stability detection</t>
        </is>
      </c>
      <c r="D29" s="19" t="inlineStr">
        <is>
          <t>Day 1 (Oct 10)</t>
        </is>
      </c>
      <c r="E29" s="19" t="inlineStr">
        <is>
          <t>Original</t>
        </is>
      </c>
      <c r="F29" s="19" t="inlineStr">
        <is>
          <t>Built dynamic viewport scrolling in browser.py; triggers intersection observers and lazy-loaded elements.</t>
        </is>
      </c>
      <c r="G29" s="19" t="inlineStr">
        <is>
          <t>Done</t>
        </is>
      </c>
    </row>
    <row r="30" ht="23.85" customHeight="1">
      <c r="A30" s="19" t="n">
        <v>26</v>
      </c>
      <c r="B30" s="19" t="inlineStr">
        <is>
          <t>Dibya</t>
        </is>
      </c>
      <c r="C30" s="19" t="inlineStr">
        <is>
          <t>Build full-page responsive viewport snapshot and screencast frame generator</t>
        </is>
      </c>
      <c r="D30" s="19" t="inlineStr">
        <is>
          <t>Day 1 (Oct 10)</t>
        </is>
      </c>
      <c r="E30" s="19" t="inlineStr">
        <is>
          <t>Original</t>
        </is>
      </c>
      <c r="F30" s="19" t="inlineStr">
        <is>
          <t>Captured base64 JPEG viewport frames during crawler navigation; streams live frames to websocket subscribers.</t>
        </is>
      </c>
      <c r="G30" s="19" t="inlineStr">
        <is>
          <t>Done</t>
        </is>
      </c>
    </row>
    <row r="31" ht="23.85" customHeight="1">
      <c r="A31" s="19" t="n">
        <v>27</v>
      </c>
      <c r="B31" s="19" t="inlineStr">
        <is>
          <t>Dibya</t>
        </is>
      </c>
      <c r="C31" s="19" t="inlineStr">
        <is>
          <t>Implement directory crawl scoping (_in_scope, scope_prefix) to prevent wandering</t>
        </is>
      </c>
      <c r="D31" s="19" t="inlineStr">
        <is>
          <t>Day 1 (Oct 10)</t>
        </is>
      </c>
      <c r="E31" s="19" t="inlineStr">
        <is>
          <t>Original</t>
        </is>
      </c>
      <c r="F31" s="19" t="inlineStr">
        <is>
          <t>Restricts deep seed crawls to submitted directory subtree; stops timeout cascades on owasp.org/projects/juice-shop.</t>
        </is>
      </c>
      <c r="G31" s="19" t="inlineStr">
        <is>
          <t>Done</t>
        </is>
      </c>
    </row>
    <row r="32" ht="23.85" customHeight="1">
      <c r="A32" s="19" t="n">
        <v>28</v>
      </c>
      <c r="B32" s="19" t="inlineStr">
        <is>
          <t>Dibya</t>
        </is>
      </c>
      <c r="C32" s="19" t="inlineStr">
        <is>
          <t>Integrate axe-core 4.10.3 accessibility scanner with WCAG 2.1 AA rule mapping</t>
        </is>
      </c>
      <c r="D32" s="19" t="inlineStr">
        <is>
          <t>Day 2 (Oct 11)</t>
        </is>
      </c>
      <c r="E32" s="19" t="inlineStr">
        <is>
          <t>Original</t>
        </is>
      </c>
      <c r="F32" s="19" t="inlineStr">
        <is>
          <t>Built Node subprocess adapter in tools/axe-runner.js; mapped contrast, alt text, and form label violations.</t>
        </is>
      </c>
      <c r="G32" s="19" t="inlineStr">
        <is>
          <t>Done</t>
        </is>
      </c>
    </row>
    <row r="33" ht="23.85" customHeight="1">
      <c r="A33" s="19" t="n">
        <v>29</v>
      </c>
      <c r="B33" s="19" t="inlineStr">
        <is>
          <t>Dibya</t>
        </is>
      </c>
      <c r="C33" s="19" t="inlineStr">
        <is>
          <t>Integrate Pa11y 8.0.0 / HTML_CodeSniffer accessibility scanner adapter</t>
        </is>
      </c>
      <c r="D33" s="19" t="inlineStr">
        <is>
          <t>Day 2 (Oct 11)</t>
        </is>
      </c>
      <c r="E33" s="19" t="inlineStr">
        <is>
          <t>Original</t>
        </is>
      </c>
      <c r="F33" s="19" t="inlineStr">
        <is>
          <t>Built Node subprocess adapter in tools/pa11y-runner.js; captures HTML_CodeSniffer color contrast issues with selectors.</t>
        </is>
      </c>
      <c r="G33" s="19" t="inlineStr">
        <is>
          <t>Done</t>
        </is>
      </c>
    </row>
    <row r="34" ht="35.1" customHeight="1">
      <c r="A34" s="19" t="n">
        <v>30</v>
      </c>
      <c r="B34" s="19" t="inlineStr">
        <is>
          <t>Dibya</t>
        </is>
      </c>
      <c r="C34" s="19" t="inlineStr">
        <is>
          <t>Build bundled practice application with 16 intentional flaws</t>
        </is>
      </c>
      <c r="D34" s="19" t="inlineStr">
        <is>
          <t>Day 2 (Oct 11)</t>
        </is>
      </c>
      <c r="E34" s="19" t="inlineStr">
        <is>
          <t>Original</t>
        </is>
      </c>
      <c r="F34" s="19" t="inlineStr">
        <is>
          <t>practice_app/app.py built with known flaws; expected_findings.json baseline authored for end-to-end verification.</t>
        </is>
      </c>
      <c r="G34" s="19" t="inlineStr">
        <is>
          <t>Done</t>
        </is>
      </c>
    </row>
    <row r="35" ht="23.85" customHeight="1">
      <c r="A35" s="19" t="n">
        <v>31</v>
      </c>
      <c r="B35" s="19" t="inlineStr">
        <is>
          <t>Dibya</t>
        </is>
      </c>
      <c r="C35" s="19" t="inlineStr">
        <is>
          <t>Author ground-truth expected_findings.json baseline for practice app verification</t>
        </is>
      </c>
      <c r="D35" s="19" t="inlineStr">
        <is>
          <t>Day 2 (Oct 11)</t>
        </is>
      </c>
      <c r="E35" s="19" t="inlineStr">
        <is>
          <t>Original</t>
        </is>
      </c>
      <c r="F35" s="19" t="inlineStr">
        <is>
          <t>Documented all 16 planted flaws with expected severity, category, and URL locations for test automation.</t>
        </is>
      </c>
      <c r="G35" s="19" t="inlineStr">
        <is>
          <t>Done</t>
        </is>
      </c>
    </row>
    <row r="36" ht="23.85" customHeight="1">
      <c r="A36" s="19" t="n">
        <v>32</v>
      </c>
      <c r="B36" s="19" t="inlineStr">
        <is>
          <t>Dibya</t>
        </is>
      </c>
      <c r="C36" s="19" t="inlineStr">
        <is>
          <t>Implement internal link health checker to capture unverified details (#5)</t>
        </is>
      </c>
      <c r="D36" s="19" t="inlineStr">
        <is>
          <t>Day 3 (Oct 12)</t>
        </is>
      </c>
      <c r="E36" s="19" t="inlineStr">
        <is>
          <t>Original</t>
        </is>
      </c>
      <c r="F36" s="19" t="inlineStr">
        <is>
          <t>check_links upgraded: separates HEAD errors/timeouts from broken links; reports SPA fragments clearly.</t>
        </is>
      </c>
      <c r="G36" s="19" t="inlineStr">
        <is>
          <t>Done</t>
        </is>
      </c>
    </row>
    <row r="37" ht="23.85" customHeight="1">
      <c r="A37" s="19" t="n">
        <v>33</v>
      </c>
      <c r="B37" s="19" t="inlineStr">
        <is>
          <t>Dibya</t>
        </is>
      </c>
      <c r="C37" s="19" t="inlineStr">
        <is>
          <t>Implement non-destructive client-side form validation discovery and testing</t>
        </is>
      </c>
      <c r="D37" s="19" t="inlineStr">
        <is>
          <t>Day 3 (Oct 12)</t>
        </is>
      </c>
      <c r="E37" s="19" t="inlineStr">
        <is>
          <t>Original</t>
        </is>
      </c>
      <c r="F37" s="19" t="inlineStr">
        <is>
          <t>Tested input validity for email, password, and text controls in browser.py; zero destructive POST mutations sent.</t>
        </is>
      </c>
      <c r="G37" s="19" t="inlineStr">
        <is>
          <t>Done</t>
        </is>
      </c>
    </row>
    <row r="38" ht="23.85" customHeight="1">
      <c r="A38" s="19" t="n">
        <v>34</v>
      </c>
      <c r="B38" s="19" t="inlineStr">
        <is>
          <t>Dibya</t>
        </is>
      </c>
      <c r="C38" s="19" t="inlineStr">
        <is>
          <t>Build navigation flow replay engine for multi-step user interaction auditing</t>
        </is>
      </c>
      <c r="D38" s="19" t="inlineStr">
        <is>
          <t>Day 3 (Oct 12)</t>
        </is>
      </c>
      <c r="E38" s="19" t="inlineStr">
        <is>
          <t>Original</t>
        </is>
      </c>
      <c r="F38" s="19" t="inlineStr">
        <is>
          <t>Created test_navigation_flows(); executes read-only click paths and logs DOM transition health.</t>
        </is>
      </c>
      <c r="G38" s="19" t="inlineStr">
        <is>
          <t>Done</t>
        </is>
      </c>
    </row>
    <row r="39" ht="23.85" customHeight="1">
      <c r="A39" s="19" t="n">
        <v>35</v>
      </c>
      <c r="B39" s="19" t="inlineStr">
        <is>
          <t>Dibya</t>
        </is>
      </c>
      <c r="C39" s="19" t="inlineStr">
        <is>
          <t>Design Obsidian-slate and Pearl canvas design system tokens in styles.css</t>
        </is>
      </c>
      <c r="D39" s="19" t="inlineStr">
        <is>
          <t>Day 3 (Oct 12)</t>
        </is>
      </c>
      <c r="E39" s="19" t="inlineStr">
        <is>
          <t>Original</t>
        </is>
      </c>
      <c r="F39" s="19" t="inlineStr">
        <is>
          <t>Built modern design tokens with high-contrast typography, frosted glass chassis, and glowing accent badges.</t>
        </is>
      </c>
      <c r="G39" s="19" t="inlineStr">
        <is>
          <t>Done</t>
        </is>
      </c>
    </row>
    <row r="40" ht="23.85" customHeight="1">
      <c r="A40" s="19" t="n">
        <v>36</v>
      </c>
      <c r="B40" s="19" t="inlineStr">
        <is>
          <t>Dibya</t>
        </is>
      </c>
      <c r="C40" s="19" t="inlineStr">
        <is>
          <t>Implement Dark Mode and Light Mode theme engine with local storage persistence</t>
        </is>
      </c>
      <c r="D40" s="19" t="inlineStr">
        <is>
          <t>Day 3 (Oct 12)</t>
        </is>
      </c>
      <c r="E40" s="19" t="inlineStr">
        <is>
          <t>Original</t>
        </is>
      </c>
      <c r="F40" s="19" t="inlineStr">
        <is>
          <t>Built theme toggle in App.tsx; applies data-theme attributes dynamically with smooth 0.22s CSS color transitions.</t>
        </is>
      </c>
      <c r="G40" s="19" t="inlineStr">
        <is>
          <t>Done</t>
        </is>
      </c>
    </row>
    <row r="41" ht="23.85" customHeight="1">
      <c r="A41" s="19" t="n">
        <v>37</v>
      </c>
      <c r="B41" s="19" t="inlineStr">
        <is>
          <t>Dibya</t>
        </is>
      </c>
      <c r="C41" s="19" t="inlineStr">
        <is>
          <t>Build top navigation bar shell with responsive theme toggle and system status drawer</t>
        </is>
      </c>
      <c r="D41" s="19" t="inlineStr">
        <is>
          <t>Day 4 (Oct 13)</t>
        </is>
      </c>
      <c r="E41" s="19" t="inlineStr">
        <is>
          <t>Original</t>
        </is>
      </c>
      <c r="F41" s="19" t="inlineStr">
        <is>
          <t>Created unified header in App.tsx; includes Lucide Sun/Moon toggle, system diagnostics, and breadcrumbs.</t>
        </is>
      </c>
      <c r="G41" s="19" t="inlineStr">
        <is>
          <t>Done</t>
        </is>
      </c>
    </row>
    <row r="42" ht="23.85" customHeight="1">
      <c r="A42" s="19" t="n">
        <v>38</v>
      </c>
      <c r="B42" s="19" t="inlineStr">
        <is>
          <t>Dibya</t>
        </is>
      </c>
      <c r="C42" s="19" t="inlineStr">
        <is>
          <t>Build scan composer on Home page with URL input, credential toggle, and pillar chips</t>
        </is>
      </c>
      <c r="D42" s="19" t="inlineStr">
        <is>
          <t>Day 4 (Oct 13)</t>
        </is>
      </c>
      <c r="E42" s="19" t="inlineStr">
        <is>
          <t>Original</t>
        </is>
      </c>
      <c r="F42" s="19" t="inlineStr">
        <is>
          <t>Created Home.tsx scan composer; lets users select specific audit pillars and enter authenticated target credentials.</t>
        </is>
      </c>
      <c r="G42" s="19" t="inlineStr">
        <is>
          <t>Done</t>
        </is>
      </c>
    </row>
    <row r="43" ht="23.85" customHeight="1">
      <c r="A43" s="19" t="n">
        <v>39</v>
      </c>
      <c r="B43" s="19" t="inlineStr">
        <is>
          <t>Dibya</t>
        </is>
      </c>
      <c r="C43" s="19" t="inlineStr">
        <is>
          <t>Implement real-time Playwright live screencast viewport stream in Progress.tsx</t>
        </is>
      </c>
      <c r="D43" s="19" t="inlineStr">
        <is>
          <t>Day 4 (Oct 13)</t>
        </is>
      </c>
      <c r="E43" s="19" t="inlineStr">
        <is>
          <t>Original</t>
        </is>
      </c>
      <c r="F43" s="19" t="inlineStr">
        <is>
          <t>Integrated live JPEG screencast canvas in Progress page; displays frosted-glass Playwright status banner.</t>
        </is>
      </c>
      <c r="G43" s="19" t="inlineStr">
        <is>
          <t>Done</t>
        </is>
      </c>
    </row>
    <row r="44">
      <c r="A44" s="24" t="n">
        <v>40</v>
      </c>
      <c r="B44" s="24" t="inlineStr">
        <is>
          <t>Dibya</t>
        </is>
      </c>
      <c r="C44" s="24" t="inlineStr">
        <is>
          <t>Implement smart log terminal auto-scrolling with user scroll intention detection</t>
        </is>
      </c>
      <c r="D44" s="24" t="inlineStr">
        <is>
          <t>Day 4 (Oct 13)</t>
        </is>
      </c>
      <c r="E44" s="24" t="inlineStr">
        <is>
          <t>Original</t>
        </is>
      </c>
      <c r="F44" s="24" t="inlineStr">
        <is>
          <t>Fixed window lock issue in Progress.tsx; auto-scrolling pauses on user scroll-up and adds resume button.</t>
        </is>
      </c>
      <c r="G44" s="24" t="inlineStr">
        <is>
          <t>Done</t>
        </is>
      </c>
    </row>
    <row r="45">
      <c r="A45" s="24" t="n">
        <v>41</v>
      </c>
      <c r="B45" s="24" t="inlineStr">
        <is>
          <t>Dibya</t>
        </is>
      </c>
      <c r="C45" s="24" t="inlineStr">
        <is>
          <t>Build 18-step interactive audit progress feed with animated scanner pills</t>
        </is>
      </c>
      <c r="D45" s="24" t="inlineStr">
        <is>
          <t>Day 4 (Oct 13)</t>
        </is>
      </c>
      <c r="E45" s="24" t="inlineStr">
        <is>
          <t>Original</t>
        </is>
      </c>
      <c r="F45" s="24" t="inlineStr">
        <is>
          <t>Created live progress timeline in Progress.tsx; shows real-time scanner transitions (Running, Completed, Partial).</t>
        </is>
      </c>
      <c r="G45" s="24" t="inlineStr">
        <is>
          <t>Done</t>
        </is>
      </c>
    </row>
    <row r="46">
      <c r="A46" s="24" t="n">
        <v>42</v>
      </c>
      <c r="B46" s="24" t="inlineStr">
        <is>
          <t>Dibya</t>
        </is>
      </c>
      <c r="C46" s="24" t="inlineStr">
        <is>
          <t>Build Report Detail page with health score radar, pillar breakdown, and severity filters</t>
        </is>
      </c>
      <c r="D46" s="24" t="inlineStr">
        <is>
          <t>Day 5 (Oct 14)</t>
        </is>
      </c>
      <c r="E46" s="24" t="inlineStr">
        <is>
          <t>Original</t>
        </is>
      </c>
      <c r="F46" s="24" t="inlineStr">
        <is>
          <t>Created ReportDetail.tsx; includes interactive score gauges, filterable finding table, and export triggers.</t>
        </is>
      </c>
      <c r="G46" s="24" t="inlineStr">
        <is>
          <t>Done</t>
        </is>
      </c>
    </row>
    <row r="47">
      <c r="A47" s="24" t="n">
        <v>43</v>
      </c>
      <c r="B47" s="24" t="inlineStr">
        <is>
          <t>Dibya</t>
        </is>
      </c>
      <c r="C47" s="24" t="inlineStr">
        <is>
          <t>Build finding inspection drawer with verification evidence, selectors, and fixes</t>
        </is>
      </c>
      <c r="D47" s="24" t="inlineStr">
        <is>
          <t>Day 5 (Oct 14)</t>
        </is>
      </c>
      <c r="E47" s="24" t="inlineStr">
        <is>
          <t>Original</t>
        </is>
      </c>
      <c r="F47" s="24" t="inlineStr">
        <is>
          <t>Designed detail drawer in ReportDetail.tsx; presents code selectors in monospace with direct fix instructions.</t>
        </is>
      </c>
      <c r="G47" s="24" t="inlineStr">
        <is>
          <t>Done</t>
        </is>
      </c>
    </row>
    <row r="48">
      <c r="A48" s="24" t="n">
        <v>44</v>
      </c>
      <c r="B48" s="24" t="inlineStr">
        <is>
          <t>Dibya</t>
        </is>
      </c>
      <c r="C48" s="24" t="inlineStr">
        <is>
          <t>Build historical scan catalog and multi-scan comparison view in History.tsx</t>
        </is>
      </c>
      <c r="D48" s="24" t="inlineStr">
        <is>
          <t>Day 5 (Oct 14)</t>
        </is>
      </c>
      <c r="E48" s="24" t="inlineStr">
        <is>
          <t>Later addition</t>
        </is>
      </c>
      <c r="F48" s="24" t="inlineStr">
        <is>
          <t>Created audit history browser with status badges, score trends, and one-click scan re-run capabilities.</t>
        </is>
      </c>
      <c r="G48" s="24" t="inlineStr">
        <is>
          <t>Done</t>
        </is>
      </c>
    </row>
    <row r="49">
      <c r="A49" s="24" t="n">
        <v>45</v>
      </c>
      <c r="B49" s="24" t="inlineStr">
        <is>
          <t>Dibya</t>
        </is>
      </c>
      <c r="C49" s="24" t="inlineStr">
        <is>
          <t>Verify 16/16 practice app flaws accounted for; refresh UI screenshots</t>
        </is>
      </c>
      <c r="D49" s="24" t="inlineStr">
        <is>
          <t>Day 5 (Oct 14)</t>
        </is>
      </c>
      <c r="E49" s="24" t="inlineStr">
        <is>
          <t>Original</t>
        </is>
      </c>
      <c r="F49" s="24" t="inlineStr">
        <is>
          <t>Practice app scanned: all 16 intentional flaws detected across 7 pages; actual screenshots captured in screenshots/actual/.</t>
        </is>
      </c>
      <c r="G49" s="24" t="inlineStr">
        <is>
          <t>Done</t>
        </is>
      </c>
    </row>
    <row r="50">
      <c r="A50" s="24" t="n">
        <v>46</v>
      </c>
      <c r="B50" s="24" t="inlineStr">
        <is>
          <t>Dibya</t>
        </is>
      </c>
      <c r="C50" s="24" t="inlineStr">
        <is>
          <t>Compile production frontend Vite bundle and verify UI responsiveness</t>
        </is>
      </c>
      <c r="D50" s="24" t="inlineStr">
        <is>
          <t>Day 5 (Oct 14)</t>
        </is>
      </c>
      <c r="E50" s="24" t="inlineStr">
        <is>
          <t>Original</t>
        </is>
      </c>
      <c r="F50" s="24" t="inlineStr">
        <is>
          <t>Executed npm run build; generated dist/assets; verified zero console errors and clean responsive layout.</t>
        </is>
      </c>
      <c r="G50" s="24" t="inlineStr">
        <is>
          <t>Done</t>
        </is>
      </c>
    </row>
    <row r="51">
      <c r="A51" s="24" t="n">
        <v>47</v>
      </c>
      <c r="B51" s="24" t="inlineStr">
        <is>
          <t>Nagendra</t>
        </is>
      </c>
      <c r="C51" s="24" t="inlineStr">
        <is>
          <t>Setup local Ollama server on NVIDIA Jetson Orin AGX and deploy models</t>
        </is>
      </c>
      <c r="D51" s="24" t="inlineStr">
        <is>
          <t>Day 1 (Oct 10)</t>
        </is>
      </c>
      <c r="E51" s="24" t="inlineStr">
        <is>
          <t>Original</t>
        </is>
      </c>
      <c r="F51" s="24" t="inlineStr">
        <is>
          <t>Deployed Qwen2.5:1.5b (986MB) and Qwen2.5vl:7b (4.7GB) on Ollama 127.0.0.1:11434 with ARM CPU neon acceleration.</t>
        </is>
      </c>
      <c r="G51" s="24" t="inlineStr">
        <is>
          <t>Done</t>
        </is>
      </c>
    </row>
    <row r="52">
      <c r="A52" s="24" t="n">
        <v>48</v>
      </c>
      <c r="B52" s="24" t="inlineStr">
        <is>
          <t>Nagendra</t>
        </is>
      </c>
      <c r="C52" s="24" t="inlineStr">
        <is>
          <t>Integrate Qwen2.5:1.5b for page classification, form test generation, and finding triage</t>
        </is>
      </c>
      <c r="D52" s="24" t="inlineStr">
        <is>
          <t>Day 2 (Oct 11)</t>
        </is>
      </c>
      <c r="E52" s="24" t="inlineStr">
        <is>
          <t>Original</t>
        </is>
      </c>
      <c r="F52" s="24" t="inlineStr">
        <is>
          <t>Hooked Ollama API; created client-side form validation tests (8/8 executed); built automated finding triage.</t>
        </is>
      </c>
      <c r="G52" s="24" t="inlineStr">
        <is>
          <t>Done</t>
        </is>
      </c>
    </row>
    <row r="53">
      <c r="A53" s="24" t="n">
        <v>49</v>
      </c>
      <c r="B53" s="24" t="inlineStr">
        <is>
          <t>Nagendra</t>
        </is>
      </c>
      <c r="C53" s="24" t="inlineStr">
        <is>
          <t>Integrate Qwen2.5vl:7b multimodal vision model for screenshot UX inspection</t>
        </is>
      </c>
      <c r="D53" s="24" t="inlineStr">
        <is>
          <t>Day 2 (Oct 11)</t>
        </is>
      </c>
      <c r="E53" s="24" t="inlineStr">
        <is>
          <t>Original</t>
        </is>
      </c>
      <c r="F53" s="24" t="inlineStr">
        <is>
          <t>Built vision inspection pipeline; detects overlapping text, visual clutter, and touch target sizing defects.</t>
        </is>
      </c>
      <c r="G53" s="24" t="inlineStr">
        <is>
          <t>Done</t>
        </is>
      </c>
    </row>
    <row r="54">
      <c r="A54" s="24" t="n">
        <v>50</v>
      </c>
      <c r="B54" s="24" t="inlineStr">
        <is>
          <t>Nagendra</t>
        </is>
      </c>
      <c r="C54" s="24" t="inlineStr">
        <is>
          <t>Integrate Lighthouse 12.6.1 and Locust 2.37.14 load testing</t>
        </is>
      </c>
      <c r="D54" s="24" t="inlineStr">
        <is>
          <t>Day 3 (Oct 12)</t>
        </is>
      </c>
      <c r="E54" s="24" t="inlineStr">
        <is>
          <t>Original</t>
        </is>
      </c>
      <c r="F54" s="24" t="inlineStr">
        <is>
          <t>Lighthouse Core Web Vitals (FCP, LCP, CLS, TBT) hooked; Locust 4-user concurrency test capped with strict safety limits.</t>
        </is>
      </c>
      <c r="G54" s="24" t="inlineStr">
        <is>
          <t>Done</t>
        </is>
      </c>
    </row>
    <row r="55">
      <c r="A55" s="24" t="n">
        <v>51</v>
      </c>
      <c r="B55" s="24" t="inlineStr">
        <is>
          <t>Nagendra</t>
        </is>
      </c>
      <c r="C55" s="24" t="inlineStr">
        <is>
          <t>Upgrade HTTP timing scanner with comprehensive latency statistics (#6)</t>
        </is>
      </c>
      <c r="D55" s="24" t="inlineStr">
        <is>
          <t>Day 3 (Oct 12)</t>
        </is>
      </c>
      <c r="E55" s="24" t="inlineStr">
        <is>
          <t>Original</t>
        </is>
      </c>
      <c r="F55" s="24" t="inlineStr">
        <is>
          <t>Added sample_count, mean, median, min, and max latency calculations with sub-millisecond precision.</t>
        </is>
      </c>
      <c r="G55" s="24" t="inlineStr">
        <is>
          <t>Done</t>
        </is>
      </c>
    </row>
    <row r="56">
      <c r="A56" s="24" t="n">
        <v>52</v>
      </c>
      <c r="B56" s="24" t="inlineStr">
        <is>
          <t>Nagendra</t>
        </is>
      </c>
      <c r="C56" s="24" t="inlineStr">
        <is>
          <t>Build 8-sheet Excel export engine (openpyxl) and AI Model Hub</t>
        </is>
      </c>
      <c r="D56" s="24" t="inlineStr">
        <is>
          <t>Day 4 (Oct 13)</t>
        </is>
      </c>
      <c r="E56" s="24" t="inlineStr">
        <is>
          <t>Original</t>
        </is>
      </c>
      <c r="F56" s="24" t="inlineStr">
        <is>
          <t>backend/app/api/xlsx_export.py authored; AI Model Hub (/models) built with open-weight ranking and health checks.</t>
        </is>
      </c>
      <c r="G56" s="24" t="inlineStr">
        <is>
          <t>Done</t>
        </is>
      </c>
    </row>
    <row r="57">
      <c r="A57" s="24" t="n">
        <v>53</v>
      </c>
      <c r="B57" s="24" t="inlineStr">
        <is>
          <t>Nagendra</t>
        </is>
      </c>
      <c r="C57" s="24" t="inlineStr">
        <is>
          <t>Verify finding deduplication and automated re-test verification engine</t>
        </is>
      </c>
      <c r="D57" s="24" t="inlineStr">
        <is>
          <t>Day 4 (Oct 13)</t>
        </is>
      </c>
      <c r="E57" s="24" t="inlineStr">
        <is>
          <t>Original</t>
        </is>
      </c>
      <c r="F57" s="24" t="inlineStr">
        <is>
          <t>Deduplication reduced 152 raw tool alerts to 31 distinct findings; 27 verified by secondary automated re-test.</t>
        </is>
      </c>
      <c r="G57" s="24" t="inlineStr">
        <is>
          <t>Done</t>
        </is>
      </c>
    </row>
    <row r="58">
      <c r="A58" s="24" t="n">
        <v>54</v>
      </c>
      <c r="B58" s="24" t="inlineStr">
        <is>
          <t>Nagendra</t>
        </is>
      </c>
      <c r="C58" s="24" t="inlineStr">
        <is>
          <t>Finalize BUILD_STATUS.md, TEST_REPORT.md, and conduct full practice app audit</t>
        </is>
      </c>
      <c r="D58" s="24" t="inlineStr">
        <is>
          <t>Day 5 (Oct 14)</t>
        </is>
      </c>
      <c r="E58" s="24" t="inlineStr">
        <is>
          <t>Original</t>
        </is>
      </c>
      <c r="F58" s="24" t="inlineStr">
        <is>
          <t>Documented honest test results (58/100 health score, 88% check coverage); verified package release integrity.</t>
        </is>
      </c>
      <c r="G58" s="24" t="inlineStr">
        <is>
          <t>Done</t>
        </is>
      </c>
    </row>
    <row r="59">
      <c r="A59" s="24" t="n">
        <v>55</v>
      </c>
      <c r="B59" s="24" t="inlineStr">
        <is>
          <t>Nagendra</t>
        </is>
      </c>
      <c r="C59" s="24" t="inlineStr">
        <is>
          <t>Setup local Ollama on NVIDIA Jetson Orin AGX; deploy Qwen2.5:1.5b and Qwen2.5vl:7b</t>
        </is>
      </c>
      <c r="D59" s="24" t="inlineStr">
        <is>
          <t>Day 1 (Oct 10)</t>
        </is>
      </c>
      <c r="E59" s="24" t="inlineStr">
        <is>
          <t>Recap of earlier work</t>
        </is>
      </c>
      <c r="F59" s="24" t="inlineStr">
        <is>
          <t>Models served at 127.0.0.1:11434; no cloud fallback.</t>
        </is>
      </c>
      <c r="G59" s="24" t="inlineStr">
        <is>
          <t>Done</t>
        </is>
      </c>
    </row>
    <row r="60">
      <c r="A60" s="24" t="n">
        <v>56</v>
      </c>
      <c r="B60" s="24" t="inlineStr">
        <is>
          <t>Nagendra</t>
        </is>
      </c>
      <c r="C60" s="24" t="inlineStr">
        <is>
          <t>Build SSRF guard, exact-origin allowlist policy and URL sanitizer (clean_input_url)</t>
        </is>
      </c>
      <c r="D60" s="24" t="inlineStr">
        <is>
          <t>Day 1 (Oct 10)</t>
        </is>
      </c>
      <c r="E60" s="24" t="inlineStr">
        <is>
          <t>Recap of earlier work</t>
        </is>
      </c>
      <c r="F60" s="24" t="inlineStr">
        <is>
          <t>RFC1918/metadata blocked; pasted markdown links normalized.</t>
        </is>
      </c>
      <c r="G60" s="24" t="inlineStr">
        <is>
          <t>Done</t>
        </is>
      </c>
    </row>
    <row r="61">
      <c r="A61" s="24" t="n">
        <v>57</v>
      </c>
      <c r="B61" s="24" t="inlineStr">
        <is>
          <t>Nagendra</t>
        </is>
      </c>
      <c r="C61" s="24" t="inlineStr">
        <is>
          <t>Implement Playwright crawler with directory scope (_in_scope, scope_prefix) and nav retries (#2, #9)</t>
        </is>
      </c>
      <c r="D61" s="24" t="inlineStr">
        <is>
          <t>Day 2 (Oct 11)</t>
        </is>
      </c>
      <c r="E61" s="24" t="inlineStr">
        <is>
          <t>Recap of earlier work</t>
        </is>
      </c>
      <c r="F61" s="24" t="inlineStr">
        <is>
          <t>Deep seeds stay within submitted folder; failed pages isolated, failed_details recorded.</t>
        </is>
      </c>
      <c r="G61" s="24" t="inlineStr">
        <is>
          <t>Done</t>
        </is>
      </c>
    </row>
    <row r="62">
      <c r="A62" s="24" t="n">
        <v>58</v>
      </c>
      <c r="B62" s="24" t="inlineStr">
        <is>
          <t>Nagendra</t>
        </is>
      </c>
      <c r="C62" s="24" t="inlineStr">
        <is>
          <t>Integrate Nuclei (GET-only), ZAP passive, axe-core, Pa11y, Lighthouse, Locust adapters</t>
        </is>
      </c>
      <c r="D62" s="24" t="inlineStr">
        <is>
          <t>Day 2 (Oct 11)</t>
        </is>
      </c>
      <c r="E62" s="24" t="inlineStr">
        <is>
          <t>Recap of earlier work</t>
        </is>
      </c>
      <c r="F62" s="24" t="inlineStr">
        <is>
          <t>All scanners skip honestly when unavailable; never scored as a pass.</t>
        </is>
      </c>
      <c r="G62" s="24" t="inlineStr">
        <is>
          <t>Done</t>
        </is>
      </c>
    </row>
    <row r="63">
      <c r="A63" s="24" t="n">
        <v>59</v>
      </c>
      <c r="B63" s="24" t="inlineStr">
        <is>
          <t>Nagendra</t>
        </is>
      </c>
      <c r="C63" s="24" t="inlineStr">
        <is>
          <t>Build Qwen2.5:1.5b text pipeline (classification, form tests, triage) and Qwen2.5vl:7b vision review</t>
        </is>
      </c>
      <c r="D63" s="24" t="inlineStr">
        <is>
          <t>Day 3 (Oct 12)</t>
        </is>
      </c>
      <c r="E63" s="24" t="inlineStr">
        <is>
          <t>Recap of earlier work</t>
        </is>
      </c>
      <c r="F63" s="24" t="inlineStr">
        <is>
          <t>8/8 client-side form cases executed; visual findings stay Possible.</t>
        </is>
      </c>
      <c r="G63" s="24" t="inlineStr">
        <is>
          <t>Done</t>
        </is>
      </c>
    </row>
    <row r="64">
      <c r="A64" s="24" t="n">
        <v>60</v>
      </c>
      <c r="B64" s="24" t="inlineStr">
        <is>
          <t>Nagendra</t>
        </is>
      </c>
      <c r="C64" s="24" t="inlineStr">
        <is>
          <t>Upgrade HTTP timing with sample_count/mean/median/min/max (#6); 10-sheet XLSX exporter</t>
        </is>
      </c>
      <c r="D64" s="24" t="inlineStr">
        <is>
          <t>Day 3 (Oct 12)</t>
        </is>
      </c>
      <c r="E64" s="24" t="inlineStr">
        <is>
          <t>Recap of earlier work</t>
        </is>
      </c>
      <c r="F64" s="24" t="inlineStr">
        <is>
          <t>Latency stats verified; exports HTML/JSON/CSV/PDF/XLSX.</t>
        </is>
      </c>
      <c r="G64" s="24" t="inlineStr">
        <is>
          <t>Done</t>
        </is>
      </c>
    </row>
    <row r="65">
      <c r="A65" s="24" t="n">
        <v>61</v>
      </c>
      <c r="B65" s="24" t="inlineStr">
        <is>
          <t>Nagendra</t>
        </is>
      </c>
      <c r="C65" s="24" t="inlineStr">
        <is>
          <t>Add runtime per-origin authorization: approvals.py store + attestation (policy.authorize/revoke)</t>
        </is>
      </c>
      <c r="D65" s="24" t="inlineStr">
        <is>
          <t>Day 4 (Oct 13)</t>
        </is>
      </c>
      <c r="E65" s="24" t="inlineStr">
        <is>
          <t>Later addition</t>
        </is>
      </c>
      <c r="F65" s="24" t="inlineStr">
        <is>
          <t>data/approved_origins.json persists user-attested origins; still exact-origin + SSRF-safe.</t>
        </is>
      </c>
      <c r="G65" s="24" t="inlineStr">
        <is>
          <t>Done</t>
        </is>
      </c>
    </row>
    <row r="66">
      <c r="A66" s="24" t="n">
        <v>62</v>
      </c>
      <c r="B66" s="24" t="inlineStr">
        <is>
          <t>Nagendra</t>
        </is>
      </c>
      <c r="C66" s="24" t="inlineStr">
        <is>
          <t>Expose POST /api/policy/authorize (403 without attestation) and /api/policy/revoke; split deployment vs user origins</t>
        </is>
      </c>
      <c r="D66" s="24" t="inlineStr">
        <is>
          <t>Day 4 (Oct 13)</t>
        </is>
      </c>
      <c r="E66" s="24" t="inlineStr">
        <is>
          <t>Later addition</t>
        </is>
      </c>
      <c r="F66" s="24" t="inlineStr">
        <is>
          <t>Live-verified: example.com false -&gt; attested -&gt; true -&gt; revoked -&gt; false.</t>
        </is>
      </c>
      <c r="G66" s="24" t="inlineStr">
        <is>
          <t>Done</t>
        </is>
      </c>
    </row>
    <row r="67">
      <c r="A67" s="24" t="n">
        <v>63</v>
      </c>
      <c r="B67" s="24" t="inlineStr">
        <is>
          <t>Nagendra</t>
        </is>
      </c>
      <c r="C67" s="24" t="inlineStr">
        <is>
          <t>Frontend 'Authorize this origin' button + attestation checkbox; rebuild and serve new bundle</t>
        </is>
      </c>
      <c r="D67" s="24" t="inlineStr">
        <is>
          <t>Day 4 (Oct 13)</t>
        </is>
      </c>
      <c r="E67" s="24" t="inlineStr">
        <is>
          <t>Later addition</t>
        </is>
      </c>
      <c r="F67" s="24" t="inlineStr">
        <is>
          <t>npm install + vite build succeeded; backend serves index-CaJTq-Xt.js.</t>
        </is>
      </c>
      <c r="G67" s="24" t="inlineStr">
        <is>
          <t>Done</t>
        </is>
      </c>
    </row>
    <row r="68">
      <c r="A68" s="24" t="n">
        <v>64</v>
      </c>
      <c r="B68" s="24" t="inlineStr">
        <is>
          <t>Nagendra</t>
        </is>
      </c>
      <c r="C68" s="24" t="inlineStr">
        <is>
          <t>Fix 'ZAP Unavailable' popup: honest optional status + actionable resolution; ready=required-only</t>
        </is>
      </c>
      <c r="D68" s="24" t="inlineStr">
        <is>
          <t>Day 4 (Oct 13)</t>
        </is>
      </c>
      <c r="E68" s="24" t="inlineStr">
        <is>
          <t>Later addition</t>
        </is>
      </c>
      <c r="F68" s="24" t="inlineStr">
        <is>
          <t>/api/tools distinguishes reachable/installed-down/not-installed; UI shows 'Optional'.</t>
        </is>
      </c>
      <c r="G68" s="24" t="inlineStr">
        <is>
          <t>Done</t>
        </is>
      </c>
    </row>
    <row r="69">
      <c r="A69" s="24" t="n">
        <v>65</v>
      </c>
      <c r="B69" s="24" t="inlineStr">
        <is>
          <t>Nagendra</t>
        </is>
      </c>
      <c r="C69" s="24" t="inlineStr">
        <is>
          <t>Integrate k6 GET-only load adapter (tools/k6-script.js, scanners/k6.py) with same hard caps as Locust</t>
        </is>
      </c>
      <c r="D69" s="24" t="inlineStr">
        <is>
          <t>Day 4 (Oct 13)</t>
        </is>
      </c>
      <c r="E69" s="24" t="inlineStr">
        <is>
          <t>Later addition</t>
        </is>
      </c>
      <c r="F69" s="24" t="inlineStr">
        <is>
          <t>Skips honestly when k6 binary absent; 13 scanner tests added.</t>
        </is>
      </c>
      <c r="G69" s="24" t="inlineStr">
        <is>
          <t>Done</t>
        </is>
      </c>
    </row>
    <row r="70">
      <c r="A70" s="24" t="n">
        <v>66</v>
      </c>
      <c r="B70" s="24" t="inlineStr">
        <is>
          <t>Nagendra</t>
        </is>
      </c>
      <c r="C70" s="24" t="inlineStr">
        <is>
          <t>Integrate Nikto (active, opt-in) adapter: DoS tuning excluded, proxy-routed, bounded</t>
        </is>
      </c>
      <c r="D70" s="24" t="inlineStr">
        <is>
          <t>Day 4 (Oct 13)</t>
        </is>
      </c>
      <c r="E70" s="24" t="inlineStr">
        <is>
          <t>Later addition</t>
        </is>
      </c>
      <c r="F70" s="24" t="inlineStr">
        <is>
          <t>UWT_NIKTO_ENABLED default false; gated by authorization.</t>
        </is>
      </c>
      <c r="G70" s="24" t="inlineStr">
        <is>
          <t>Done</t>
        </is>
      </c>
    </row>
    <row r="71">
      <c r="A71" s="24" t="n">
        <v>67</v>
      </c>
      <c r="B71" s="24" t="inlineStr">
        <is>
          <t>Nagendra</t>
        </is>
      </c>
      <c r="C71" s="24" t="inlineStr">
        <is>
          <t>Integrate sqlmap (active, opt-in) DETECTION-ONLY adapter: BEU, level1/risk1, no dump/os/file options</t>
        </is>
      </c>
      <c r="D71" s="24" t="inlineStr">
        <is>
          <t>Day 4 (Oct 13)</t>
        </is>
      </c>
      <c r="E71" s="24" t="inlineStr">
        <is>
          <t>Later addition</t>
        </is>
      </c>
      <c r="F71" s="24" t="inlineStr">
        <is>
          <t>UWT_SQLMAP_ENABLED default false; only parameterised same-origin GET URLs.</t>
        </is>
      </c>
      <c r="G71" s="24" t="inlineStr">
        <is>
          <t>Done</t>
        </is>
      </c>
    </row>
    <row r="72">
      <c r="A72" s="24" t="n">
        <v>68</v>
      </c>
      <c r="B72" s="24" t="inlineStr">
        <is>
          <t>Nagendra</t>
        </is>
      </c>
      <c r="C72" s="24" t="inlineStr">
        <is>
          <t>Add honest binary resolver (resolve_binary): explicit-but-missing tool is skipped, not substituted (#3/#10)</t>
        </is>
      </c>
      <c r="D72" s="24" t="inlineStr">
        <is>
          <t>Day 4 (Oct 13)</t>
        </is>
      </c>
      <c r="E72" s="24" t="inlineStr">
        <is>
          <t>Later addition</t>
        </is>
      </c>
      <c r="F72" s="24" t="inlineStr">
        <is>
          <t>Fixed nuclei.py and browser.py fallbacks; fixed ZAP test mock signature.</t>
        </is>
      </c>
      <c r="G72" s="24" t="inlineStr">
        <is>
          <t>Done</t>
        </is>
      </c>
    </row>
    <row r="73">
      <c r="A73" s="24" t="n">
        <v>69</v>
      </c>
      <c r="B73" s="24" t="inlineStr">
        <is>
          <t>Nagendra</t>
        </is>
      </c>
      <c r="C73" s="24" t="inlineStr">
        <is>
          <t>Run full regression + live end-to-end; document honest limitations; update .env.example</t>
        </is>
      </c>
      <c r="D73" s="24" t="inlineStr">
        <is>
          <t>Day 5 (Oct 14)</t>
        </is>
      </c>
      <c r="E73" s="24" t="inlineStr">
        <is>
          <t>Later addition</t>
        </is>
      </c>
      <c r="F73" s="24" t="inlineStr">
        <is>
          <t>186 pytest tests pass (0 failed); real practice run 58/100, 7 pages, 27/31 verified.</t>
        </is>
      </c>
      <c r="G73" s="24" t="inlineStr">
        <is>
          <t>Done</t>
        </is>
      </c>
    </row>
  </sheetData>
  <autoFilter ref="A4:G43"/>
  <conditionalFormatting sqref="G5:G43">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E49"/>
  <sheetViews>
    <sheetView showGridLines="0" zoomScaleNormal="100" workbookViewId="0">
      <pane ySplit="4" topLeftCell="A5" activePane="bottomLeft" state="frozen"/>
      <selection pane="bottomLeft" activeCell="A1" sqref="A1"/>
    </sheetView>
  </sheetViews>
  <sheetFormatPr baseColWidth="8" defaultColWidth="8.7109375" defaultRowHeight="15" outlineLevelCol="0"/>
  <cols>
    <col width="6" customWidth="1" min="1" max="1"/>
    <col width="11" customWidth="1" min="2" max="2"/>
    <col width="70" customWidth="1" min="3" max="3"/>
    <col width="10" customWidth="1" min="4" max="4"/>
    <col width="65" customWidth="1" min="5" max="5"/>
  </cols>
  <sheetData>
    <row r="1" ht="19.7" customHeight="1">
      <c r="A1" s="3" t="inlineStr">
        <is>
          <t>Manual Checks</t>
        </is>
      </c>
    </row>
    <row r="2">
      <c r="A2" s="4" t="inlineStr">
        <is>
          <t>All checks were run on Linux (NVIDIA Jetson Orin AGX). Duplicate checks from the two files were merged into one.</t>
        </is>
      </c>
    </row>
    <row r="4">
      <c r="A4" s="20" t="inlineStr">
        <is>
          <t>No.</t>
        </is>
      </c>
      <c r="B4" s="20" t="inlineStr">
        <is>
          <t>Member</t>
        </is>
      </c>
      <c r="C4" s="20" t="inlineStr">
        <is>
          <t>What was checked</t>
        </is>
      </c>
      <c r="D4" s="20" t="inlineStr">
        <is>
          <t>Result</t>
        </is>
      </c>
      <c r="E4" s="20" t="inlineStr">
        <is>
          <t>Evidence / notes</t>
        </is>
      </c>
    </row>
    <row r="5" ht="23.85" customHeight="1">
      <c r="A5" s="19" t="n">
        <v>1</v>
      </c>
      <c r="B5" s="19" t="inlineStr">
        <is>
          <t>Aman</t>
        </is>
      </c>
      <c r="C5" s="19" t="inlineStr">
        <is>
          <t>Submit https://example.com: security and load steps REFUSED</t>
        </is>
      </c>
      <c r="D5" s="19" t="inlineStr">
        <is>
          <t>Pass</t>
        </is>
      </c>
      <c r="E5" s="19" t="inlineStr">
        <is>
          <t>Refused honestly because origin is not allowlisted; read-only discovery steps allowed.</t>
        </is>
      </c>
    </row>
    <row r="6">
      <c r="A6" s="19" t="n">
        <v>2</v>
      </c>
      <c r="B6" s="19" t="inlineStr">
        <is>
          <t>Aman</t>
        </is>
      </c>
      <c r="C6" s="19" t="inlineStr">
        <is>
          <t>Submit http://169.254.169.254/: rejected at submission</t>
        </is>
      </c>
      <c r="D6" s="19" t="inlineStr">
        <is>
          <t>Pass</t>
        </is>
      </c>
      <c r="E6" s="19" t="inlineStr">
        <is>
          <t>SSRF policy blocked AWS/cloud metadata address at initial validation time.</t>
        </is>
      </c>
    </row>
    <row r="7">
      <c r="A7" s="19" t="n">
        <v>3</v>
      </c>
      <c r="B7" s="19" t="inlineStr">
        <is>
          <t>Aman</t>
        </is>
      </c>
      <c r="C7" s="19" t="inlineStr">
        <is>
          <t>Submit http://192.168.1.1/ or 10.0.0.1: rejected at submission</t>
        </is>
      </c>
      <c r="D7" s="19" t="inlineStr">
        <is>
          <t>Pass</t>
        </is>
      </c>
      <c r="E7" s="19" t="inlineStr">
        <is>
          <t>RFC 1918 private IPv4 addresses rejected to prevent internal network scanning.</t>
        </is>
      </c>
    </row>
    <row r="8" ht="23.85" customHeight="1">
      <c r="A8" s="19" t="n">
        <v>4</v>
      </c>
      <c r="B8" s="19" t="inlineStr">
        <is>
          <t>Aman</t>
        </is>
      </c>
      <c r="C8" s="19" t="inlineStr">
        <is>
          <t>Practice app: .env, .git/HEAD, missing headers, weak cookie found with correct Verified/Possible</t>
        </is>
      </c>
      <c r="D8" s="19" t="inlineStr">
        <is>
          <t>Pass</t>
        </is>
      </c>
      <c r="E8" s="19" t="inlineStr">
        <is>
          <t>All security findings corroborated with live HTTP responses and exact evidence strings.</t>
        </is>
      </c>
    </row>
    <row r="9" ht="23.85" customHeight="1">
      <c r="A9" s="19" t="n">
        <v>5</v>
      </c>
      <c r="B9" s="19" t="inlineStr">
        <is>
          <t>Aman</t>
        </is>
      </c>
      <c r="C9" s="19" t="inlineStr">
        <is>
          <t>Cancel mid-scan: cancelled in under 10 s, no leftover browser/proxy process</t>
        </is>
      </c>
      <c r="D9" s="19" t="inlineStr">
        <is>
          <t>Pass</t>
        </is>
      </c>
      <c r="E9" s="19" t="inlineStr">
        <is>
          <t>Process tree terminated cleanly via core/process.py supervisor; zero orphaned mitmdump.</t>
        </is>
      </c>
    </row>
    <row r="10" ht="23.85" customHeight="1">
      <c r="A10" s="19" t="n">
        <v>6</v>
      </c>
      <c r="B10" s="19" t="inlineStr">
        <is>
          <t>Aman</t>
        </is>
      </c>
      <c r="C10" s="19" t="inlineStr">
        <is>
          <t>Submit markdown link '[Juice Shop](https://owasp.org)': sanitized without error</t>
        </is>
      </c>
      <c r="D10" s="19" t="inlineStr">
        <is>
          <t>Pass</t>
        </is>
      </c>
      <c r="E10" s="19" t="inlineStr">
        <is>
          <t>clean_input_url() stripped markdown syntax; domain checked against allowlist correctly.</t>
        </is>
      </c>
    </row>
    <row r="11" ht="23.85" customHeight="1">
      <c r="A11" s="19" t="n">
        <v>7</v>
      </c>
      <c r="B11" s="19" t="inlineStr">
        <is>
          <t>Aman</t>
        </is>
      </c>
      <c r="C11" s="19" t="inlineStr">
        <is>
          <t>POST /api/policy/authorize: requires explicit attestation checkbox</t>
        </is>
      </c>
      <c r="D11" s="19" t="inlineStr">
        <is>
          <t>Pass</t>
        </is>
      </c>
      <c r="E11" s="19" t="inlineStr">
        <is>
          <t>Refuses authorization if confirmation is missing (403); allows authorization once attested.</t>
        </is>
      </c>
    </row>
    <row r="12" ht="23.85" customHeight="1">
      <c r="A12" s="19" t="n">
        <v>8</v>
      </c>
      <c r="B12" s="19" t="inlineStr">
        <is>
          <t>Aman</t>
        </is>
      </c>
      <c r="C12" s="19" t="inlineStr">
        <is>
          <t>POST /api/policy/revoke: revokes previously authorized origin immediately</t>
        </is>
      </c>
      <c r="D12" s="19" t="inlineStr">
        <is>
          <t>Pass</t>
        </is>
      </c>
      <c r="E12" s="19" t="inlineStr">
        <is>
          <t>Revocation resets target origin to restricted state; verified via policy check API.</t>
        </is>
      </c>
    </row>
    <row r="13" ht="23.85" customHeight="1">
      <c r="A13" s="19" t="n">
        <v>9</v>
      </c>
      <c r="B13" s="19" t="inlineStr">
        <is>
          <t>Aman</t>
        </is>
      </c>
      <c r="C13" s="19" t="inlineStr">
        <is>
          <t>Nuclei scanner: executes curated GET-only templates safely without state mutations</t>
        </is>
      </c>
      <c r="D13" s="19" t="inlineStr">
        <is>
          <t>Pass</t>
        </is>
      </c>
      <c r="E13" s="19" t="inlineStr">
        <is>
          <t>Detected exposed .env and missing security headers in ~1.2s; zero POST/PUT requests sent.</t>
        </is>
      </c>
    </row>
    <row r="14" ht="23.85" customHeight="1">
      <c r="A14" s="19" t="n">
        <v>10</v>
      </c>
      <c r="B14" s="19" t="inlineStr">
        <is>
          <t>Aman</t>
        </is>
      </c>
      <c r="C14" s="19" t="inlineStr">
        <is>
          <t>HTTP security headers: flags missing HSTS, CSP, and X-Frame-Options on practice app</t>
        </is>
      </c>
      <c r="D14" s="19" t="inlineStr">
        <is>
          <t>Pass</t>
        </is>
      </c>
      <c r="E14" s="19" t="inlineStr">
        <is>
          <t>Correctly identified absent security headers with clear remediation advice.</t>
        </is>
      </c>
    </row>
    <row r="15" ht="23.85" customHeight="1">
      <c r="A15" s="19" t="n">
        <v>11</v>
      </c>
      <c r="B15" s="19" t="inlineStr">
        <is>
          <t>Aman</t>
        </is>
      </c>
      <c r="C15" s="19" t="inlineStr">
        <is>
          <t>Cookie security: flags session cookies missing HttpOnly and Secure attributes</t>
        </is>
      </c>
      <c r="D15" s="19" t="inlineStr">
        <is>
          <t>Pass</t>
        </is>
      </c>
      <c r="E15" s="19" t="inlineStr">
        <is>
          <t>Identified session cookie without flags; verified with VerificationSpec cookie check.</t>
        </is>
      </c>
    </row>
    <row r="16" ht="23.85" customHeight="1">
      <c r="A16" s="19" t="n">
        <v>12</v>
      </c>
      <c r="B16" s="19" t="inlineStr">
        <is>
          <t>Aman</t>
        </is>
      </c>
      <c r="C16" s="19" t="inlineStr">
        <is>
          <t>Inert reflection probe: verifies unescaped &lt;uwt-probe&gt; tag reflection safely</t>
        </is>
      </c>
      <c r="D16" s="19" t="inlineStr">
        <is>
          <t>Pass</t>
        </is>
      </c>
      <c r="E16" s="19" t="inlineStr">
        <is>
          <t>Detected inert marker reflection in parameter without sending executable script payloads.</t>
        </is>
      </c>
    </row>
    <row r="17">
      <c r="A17" s="19" t="n">
        <v>13</v>
      </c>
      <c r="B17" s="19" t="inlineStr">
        <is>
          <t>Aman</t>
        </is>
      </c>
      <c r="C17" s="19" t="inlineStr">
        <is>
          <t>OWASP ZAP integration: verifies headless daemon connectivity on port 8090</t>
        </is>
      </c>
      <c r="D17" s="19" t="inlineStr">
        <is>
          <t>Pass</t>
        </is>
      </c>
      <c r="E17" s="19" t="inlineStr">
        <is>
          <t>Checked daemon handshake and API key authentication; reports optional status if offline.</t>
        </is>
      </c>
    </row>
    <row r="18">
      <c r="A18" s="19" t="n">
        <v>14</v>
      </c>
      <c r="B18" s="19" t="inlineStr">
        <is>
          <t>Aman</t>
        </is>
      </c>
      <c r="C18" s="19" t="inlineStr">
        <is>
          <t>ReportLab PDF export: downloads formatted 13-page report with clean typography</t>
        </is>
      </c>
      <c r="D18" s="19" t="inlineStr">
        <is>
          <t>Pass</t>
        </is>
      </c>
      <c r="E18" s="19" t="inlineStr">
        <is>
          <t>Generated PDF report with bold headings, colored severity badges, and zero raw XML tags.</t>
        </is>
      </c>
    </row>
    <row r="19" ht="23.85" customHeight="1">
      <c r="A19" s="19" t="n">
        <v>15</v>
      </c>
      <c r="B19" s="19" t="inlineStr">
        <is>
          <t>Aman</t>
        </is>
      </c>
      <c r="C19" s="19" t="inlineStr">
        <is>
          <t>Full backend pytest suite: 146+ tests execute with 0 failures</t>
        </is>
      </c>
      <c r="D19" s="19" t="inlineStr">
        <is>
          <t>Pass</t>
        </is>
      </c>
      <c r="E19" s="19" t="inlineStr">
        <is>
          <t>Executed pytest suite; all security policy, guard, and scanner tests passed.</t>
        </is>
      </c>
    </row>
    <row r="20" ht="23.85" customHeight="1">
      <c r="A20" s="19" t="n">
        <v>16</v>
      </c>
      <c r="B20" s="19" t="inlineStr">
        <is>
          <t>Dibya</t>
        </is>
      </c>
      <c r="C20" s="19" t="inlineStr">
        <is>
          <t>Crawl deep path 'https://owasp.org/projects/juice-shop': stays within /projects/ subtree</t>
        </is>
      </c>
      <c r="D20" s="19" t="inlineStr">
        <is>
          <t>Pass</t>
        </is>
      </c>
      <c r="E20" s="19" t="inlineStr">
        <is>
          <t>Crawler did not wander off to root or unrelated top-level pages; _in_scope enforced.</t>
        </is>
      </c>
    </row>
    <row r="21">
      <c r="A21" s="19" t="n">
        <v>17</v>
      </c>
      <c r="B21" s="19" t="inlineStr">
        <is>
          <t>Dibya</t>
        </is>
      </c>
      <c r="C21" s="19" t="inlineStr">
        <is>
          <t>Practice app crawl: 7 pages mapped, 0 failed, 0 undiscovered</t>
        </is>
      </c>
      <c r="D21" s="19" t="inlineStr">
        <is>
          <t>Pass</t>
        </is>
      </c>
      <c r="E21" s="19" t="inlineStr">
        <is>
          <t>Root scope ('/') traversed all 7 pages of bundled practice app cleanly without timeouts.</t>
        </is>
      </c>
    </row>
    <row r="22">
      <c r="A22" s="19" t="n">
        <v>18</v>
      </c>
      <c r="B22" s="19" t="inlineStr">
        <is>
          <t>Dibya</t>
        </is>
      </c>
      <c r="C22" s="19" t="inlineStr">
        <is>
          <t>check_links: internal links checked without silent drops, unverified tracked</t>
        </is>
      </c>
      <c r="D22" s="19" t="inlineStr">
        <is>
          <t>Pass</t>
        </is>
      </c>
      <c r="E22" s="19" t="inlineStr">
        <is>
          <t>7/7 links checked; unverified_details exposes reasons rather than hiding missing links.</t>
        </is>
      </c>
    </row>
    <row r="23">
      <c r="A23" s="19" t="n">
        <v>19</v>
      </c>
      <c r="B23" s="19" t="inlineStr">
        <is>
          <t>Dibya</t>
        </is>
      </c>
      <c r="C23" s="19" t="inlineStr">
        <is>
          <t>Forms test: 8/8 client-side validation test cases executed without mutations</t>
        </is>
      </c>
      <c r="D23" s="19" t="inlineStr">
        <is>
          <t>Pass</t>
        </is>
      </c>
      <c r="E23" s="19" t="inlineStr">
        <is>
          <t>Tested input validity for email, password, and text; zero destructive submissions sent.</t>
        </is>
      </c>
    </row>
    <row r="24">
      <c r="A24" s="19" t="n">
        <v>20</v>
      </c>
      <c r="B24" s="19" t="inlineStr">
        <is>
          <t>Dibya</t>
        </is>
      </c>
      <c r="C24" s="19" t="inlineStr">
        <is>
          <t>axe-core: 7/7 pages audited; zero unaudited pages</t>
        </is>
      </c>
      <c r="D24" s="19" t="inlineStr">
        <is>
          <t>Pass</t>
        </is>
      </c>
      <c r="E24" s="19" t="inlineStr">
        <is>
          <t>Identified 101 rule violations (contrast, alt text, missing label, aria-label) with selectors.</t>
        </is>
      </c>
    </row>
    <row r="25">
      <c r="A25" s="19" t="n">
        <v>21</v>
      </c>
      <c r="B25" s="19" t="inlineStr">
        <is>
          <t>Dibya</t>
        </is>
      </c>
      <c r="C25" s="19" t="inlineStr">
        <is>
          <t>Pa11y scanner: audits color contrast and semantic HTML across all discovered routes</t>
        </is>
      </c>
      <c r="D25" s="19" t="inlineStr">
        <is>
          <t>Pass</t>
        </is>
      </c>
      <c r="E25" s="19" t="inlineStr">
        <is>
          <t>Audited all pages via HTML_CodeSniffer engine; verified CSS selectors for contrast errors.</t>
        </is>
      </c>
    </row>
    <row r="26">
      <c r="A26" s="19" t="n">
        <v>22</v>
      </c>
      <c r="B26" s="19" t="inlineStr">
        <is>
          <t>Dibya</t>
        </is>
      </c>
      <c r="C26" s="19" t="inlineStr">
        <is>
          <t>Practice app flaw baseline: all 16 intentional flaws detected across 7 pages</t>
        </is>
      </c>
      <c r="D26" s="19" t="inlineStr">
        <is>
          <t>Pass</t>
        </is>
      </c>
      <c r="E26" s="19" t="inlineStr">
        <is>
          <t>Verified detected findings against expected_findings.json baseline with 100% match.</t>
        </is>
      </c>
    </row>
    <row r="27">
      <c r="A27" s="19" t="n">
        <v>23</v>
      </c>
      <c r="B27" s="19" t="inlineStr">
        <is>
          <t>Dibya</t>
        </is>
      </c>
      <c r="C27" s="19" t="inlineStr">
        <is>
          <t>Progressive scrolling: vertical scroll triggers lazy-loaded DOM elements</t>
        </is>
      </c>
      <c r="D27" s="19" t="inlineStr">
        <is>
          <t>Pass</t>
        </is>
      </c>
      <c r="E27" s="19" t="inlineStr">
        <is>
          <t>Simulated user scroll with micro-delays; intersection observers fired properly.</t>
        </is>
      </c>
    </row>
    <row r="28">
      <c r="A28" s="19" t="n">
        <v>24</v>
      </c>
      <c r="B28" s="19" t="inlineStr">
        <is>
          <t>Dibya</t>
        </is>
      </c>
      <c r="C28" s="19" t="inlineStr">
        <is>
          <t>Live screencast canvas: Playwright JPEG viewport stream renders smoothly</t>
        </is>
      </c>
      <c r="D28" s="19" t="inlineStr">
        <is>
          <t>Pass</t>
        </is>
      </c>
      <c r="E28" s="19" t="inlineStr">
        <is>
          <t>Live screencast frame stream verified in Progress.tsx during navigation and form audit.</t>
        </is>
      </c>
    </row>
    <row r="29">
      <c r="A29" s="19" t="n">
        <v>25</v>
      </c>
      <c r="B29" s="19" t="inlineStr">
        <is>
          <t>Dibya</t>
        </is>
      </c>
      <c r="C29" s="19" t="inlineStr">
        <is>
          <t>Smart log terminal: auto-scroll pauses on user scroll-up and resumes on click</t>
        </is>
      </c>
      <c r="D29" s="19" t="inlineStr">
        <is>
          <t>Pass</t>
        </is>
      </c>
      <c r="E29" s="19" t="inlineStr">
        <is>
          <t>Verified user scroll intention detection; container.scrollTop adjusts without window jumping.</t>
        </is>
      </c>
    </row>
    <row r="30">
      <c r="A30" s="19" t="n">
        <v>26</v>
      </c>
      <c r="B30" s="19" t="inlineStr">
        <is>
          <t>Dibya</t>
        </is>
      </c>
      <c r="C30" s="19" t="inlineStr">
        <is>
          <t>Dark Mode &amp; Light Mode: switches cleanly with persistent local storage</t>
        </is>
      </c>
      <c r="D30" s="19" t="inlineStr">
        <is>
          <t>Pass</t>
        </is>
      </c>
      <c r="E30" s="19" t="inlineStr">
        <is>
          <t>Verified Obsidian-slate and Pearl canvas themes across all pages; persists on reload.</t>
        </is>
      </c>
    </row>
    <row r="31">
      <c r="A31" s="19" t="n">
        <v>27</v>
      </c>
      <c r="B31" s="19" t="inlineStr">
        <is>
          <t>Dibya</t>
        </is>
      </c>
      <c r="C31" s="19" t="inlineStr">
        <is>
          <t>Scan composer: URL input, authenticated toggle, and pillar chips function cleanly</t>
        </is>
      </c>
      <c r="D31" s="19" t="inlineStr">
        <is>
          <t>Pass</t>
        </is>
      </c>
      <c r="E31" s="19" t="inlineStr">
        <is>
          <t>Configured scan options in Home.tsx; verified form submission triggers WebSocket run.</t>
        </is>
      </c>
    </row>
    <row r="32">
      <c r="A32" s="24" t="n">
        <v>28</v>
      </c>
      <c r="B32" s="24" t="inlineStr">
        <is>
          <t>Dibya</t>
        </is>
      </c>
      <c r="C32" s="24" t="inlineStr">
        <is>
          <t>Report Detail page: health score radar, pillar tabs, and severity filters respond interactively</t>
        </is>
      </c>
      <c r="D32" s="24" t="inlineStr">
        <is>
          <t>Pass</t>
        </is>
      </c>
      <c r="E32" s="24" t="inlineStr">
        <is>
          <t>Verified filter state changes update findings list dynamically in ReportDetail.tsx.</t>
        </is>
      </c>
    </row>
    <row r="33">
      <c r="A33" s="24" t="n">
        <v>29</v>
      </c>
      <c r="B33" s="24" t="inlineStr">
        <is>
          <t>Dibya</t>
        </is>
      </c>
      <c r="C33" s="24" t="inlineStr">
        <is>
          <t>Finding drawer: clicking finding card displays verification evidence and suggested fix</t>
        </is>
      </c>
      <c r="D33" s="24" t="inlineStr">
        <is>
          <t>Pass</t>
        </is>
      </c>
      <c r="E33" s="24" t="inlineStr">
        <is>
          <t>Inspected finding card drawer; verified selector monospace styling and remediation notes.</t>
        </is>
      </c>
    </row>
    <row r="34">
      <c r="A34" s="24" t="n">
        <v>30</v>
      </c>
      <c r="B34" s="24" t="inlineStr">
        <is>
          <t>Dibya</t>
        </is>
      </c>
      <c r="C34" s="24" t="inlineStr">
        <is>
          <t>Frontend Vite build: npm run build compiles production bundle with 0 errors</t>
        </is>
      </c>
      <c r="D34" s="24" t="inlineStr">
        <is>
          <t>Pass</t>
        </is>
      </c>
      <c r="E34" s="24" t="inlineStr">
        <is>
          <t>TypeScript check passed (0 errors); optimized production assets generated in dist/.</t>
        </is>
      </c>
    </row>
    <row r="35">
      <c r="A35" s="24" t="n">
        <v>31</v>
      </c>
      <c r="B35" s="24" t="inlineStr">
        <is>
          <t>Nagendra</t>
        </is>
      </c>
      <c r="C35" s="24" t="inlineStr">
        <is>
          <t>Submit http://169.254.169.254/ and 10.0.0.1: rejected at submission</t>
        </is>
      </c>
      <c r="D35" s="24" t="inlineStr">
        <is>
          <t>Pass</t>
        </is>
      </c>
      <c r="E35" s="24" t="inlineStr">
        <is>
          <t>SSRF/metadata and RFC1918 addresses blocked at validation.</t>
        </is>
      </c>
    </row>
    <row r="36">
      <c r="A36" s="24" t="n">
        <v>32</v>
      </c>
      <c r="B36" s="24" t="inlineStr">
        <is>
          <t>Nagendra</t>
        </is>
      </c>
      <c r="C36" s="24" t="inlineStr">
        <is>
          <t>Submit markdown link '[Lab](http://127.0.0.1:8765/)': sanitized to bare URL</t>
        </is>
      </c>
      <c r="D36" s="24" t="inlineStr">
        <is>
          <t>Pass</t>
        </is>
      </c>
      <c r="E36" s="24" t="inlineStr">
        <is>
          <t>clean_input_url() recovered the real URL; policy/check returned authorized.</t>
        </is>
      </c>
    </row>
    <row r="37">
      <c r="A37" s="24" t="n">
        <v>33</v>
      </c>
      <c r="B37" s="24" t="inlineStr">
        <is>
          <t>Nagendra</t>
        </is>
      </c>
      <c r="C37" s="24" t="inlineStr">
        <is>
          <t>Non-allowlisted origin: authorize without attestation -&gt; 403; with attestation -&gt; authorized</t>
        </is>
      </c>
      <c r="D37" s="24" t="inlineStr">
        <is>
          <t>Pass</t>
        </is>
      </c>
      <c r="E37" s="24" t="inlineStr">
        <is>
          <t>POST /api/policy/authorize refuses confirm=false; example.com flipped to authorized then revoked.</t>
        </is>
      </c>
    </row>
    <row r="38">
      <c r="A38" s="24" t="n">
        <v>34</v>
      </c>
      <c r="B38" s="24" t="inlineStr">
        <is>
          <t>Nagendra</t>
        </is>
      </c>
      <c r="C38" s="24" t="inlineStr">
        <is>
          <t>Tools popup: ZAP shows 'Optional' with resolution, not a hard 'Unavailable'; engine ready</t>
        </is>
      </c>
      <c r="D38" s="24" t="inlineStr">
        <is>
          <t>Pass</t>
        </is>
      </c>
      <c r="E38" s="24" t="inlineStr">
        <is>
          <t>/api/tools optional+resolution fields; ready reflects required tools only.</t>
        </is>
      </c>
    </row>
    <row r="39">
      <c r="A39" s="24" t="n">
        <v>35</v>
      </c>
      <c r="B39" s="24" t="inlineStr">
        <is>
          <t>Nagendra</t>
        </is>
      </c>
      <c r="C39" s="24" t="inlineStr">
        <is>
          <t>k6/Nikto/sqlmap absent or opt-in off: reported 'skipped', never a pass</t>
        </is>
      </c>
      <c r="D39" s="24" t="inlineStr">
        <is>
          <t>Pass</t>
        </is>
      </c>
      <c r="E39" s="24" t="inlineStr">
        <is>
          <t>Honest skip reasons; active scanners disabled by default.</t>
        </is>
      </c>
    </row>
    <row r="40">
      <c r="A40" s="24" t="n">
        <v>36</v>
      </c>
      <c r="B40" s="24" t="inlineStr">
        <is>
          <t>Nagendra</t>
        </is>
      </c>
      <c r="C40" s="24" t="inlineStr">
        <is>
          <t>Deep seed crawl stays within submitted directory; practice app 7/7 pages, 0 failed</t>
        </is>
      </c>
      <c r="D40" s="24" t="inlineStr">
        <is>
          <t>Pass</t>
        </is>
      </c>
      <c r="E40" s="24" t="inlineStr">
        <is>
          <t>_in_scope enforced; no timeout cascade.</t>
        </is>
      </c>
    </row>
    <row r="41">
      <c r="A41" s="24" t="n">
        <v>37</v>
      </c>
      <c r="B41" s="24" t="inlineStr">
        <is>
          <t>Nagendra</t>
        </is>
      </c>
      <c r="C41" s="24" t="inlineStr">
        <is>
          <t>Forms: 8/8 client-side validation cases executed with zero state-changing submissions</t>
        </is>
      </c>
      <c r="D41" s="24" t="inlineStr">
        <is>
          <t>Pass</t>
        </is>
      </c>
      <c r="E41" s="24" t="inlineStr">
        <is>
          <t>mutations_submitted=0.</t>
        </is>
      </c>
    </row>
    <row r="42">
      <c r="A42" s="24" t="n">
        <v>38</v>
      </c>
      <c r="B42" s="24" t="inlineStr">
        <is>
          <t>Nagendra</t>
        </is>
      </c>
      <c r="C42" s="24" t="inlineStr">
        <is>
          <t>HTTP timing exposes sample_count/mean/median/min/max</t>
        </is>
      </c>
      <c r="D42" s="24" t="inlineStr">
        <is>
          <t>Pass</t>
        </is>
      </c>
      <c r="E42" s="24" t="inlineStr">
        <is>
          <t>3 GETs: mean 50.4ms, median 66.4ms, min 17.1ms, max 67.6ms.</t>
        </is>
      </c>
    </row>
    <row r="43">
      <c r="A43" s="24" t="n">
        <v>39</v>
      </c>
      <c r="B43" s="24" t="inlineStr">
        <is>
          <t>Nagendra</t>
        </is>
      </c>
      <c r="C43" s="24" t="inlineStr">
        <is>
          <t>Ollama reachable; both models ready; no external LLM calls in logs</t>
        </is>
      </c>
      <c r="D43" s="24" t="inlineStr">
        <is>
          <t>Pass</t>
        </is>
      </c>
      <c r="E43" s="24" t="inlineStr">
        <is>
          <t>Tags API 200; 100% local inference.</t>
        </is>
      </c>
    </row>
    <row r="44">
      <c r="A44" s="24" t="n">
        <v>40</v>
      </c>
      <c r="B44" s="24" t="inlineStr">
        <is>
          <t>Nagendra</t>
        </is>
      </c>
      <c r="C44" s="24" t="inlineStr">
        <is>
          <t>Exports HTML/JSON/CSV/PDF/XLSX download correctly</t>
        </is>
      </c>
      <c r="D44" s="24" t="inlineStr">
        <is>
          <t>Pass</t>
        </is>
      </c>
      <c r="E44" s="24" t="inlineStr">
        <is>
          <t>All export routes return valid documents.</t>
        </is>
      </c>
    </row>
    <row r="45">
      <c r="A45" s="24" t="n">
        <v>41</v>
      </c>
      <c r="B45" s="24" t="inlineStr">
        <is>
          <t>Nagendra</t>
        </is>
      </c>
      <c r="C45" s="24" t="inlineStr">
        <is>
          <t>Full regression suite green</t>
        </is>
      </c>
      <c r="D45" s="24" t="inlineStr">
        <is>
          <t>Pass</t>
        </is>
      </c>
      <c r="E45" s="24" t="inlineStr">
        <is>
          <t>186 pytest tests pass (0 failed), incl. 17 new (auth + extra scanners).</t>
        </is>
      </c>
    </row>
    <row r="46">
      <c r="A46" s="24" t="n">
        <v>42</v>
      </c>
      <c r="B46" s="24" t="inlineStr">
        <is>
          <t>Nagendra</t>
        </is>
      </c>
      <c r="C46" s="24" t="inlineStr">
        <is>
          <t>Frontend production build clean; new UI served</t>
        </is>
      </c>
      <c r="D46" s="24" t="inlineStr">
        <is>
          <t>Pass</t>
        </is>
      </c>
      <c r="E46" s="24" t="inlineStr">
        <is>
          <t>tsc -b + vite build 0 errors; authorize button + optional tool status in bundle.</t>
        </is>
      </c>
    </row>
    <row r="47">
      <c r="A47" s="24" t="n">
        <v>43</v>
      </c>
      <c r="B47" s="24" t="inlineStr">
        <is>
          <t>Nagendra</t>
        </is>
      </c>
      <c r="C47" s="24" t="inlineStr">
        <is>
          <t>Lighthouse Core Web Vitals: FCP, LCP, CLS, TBT recorded honestly</t>
        </is>
      </c>
      <c r="D47" s="24" t="inlineStr">
        <is>
          <t>Pass</t>
        </is>
      </c>
      <c r="E47" s="24" t="inlineStr">
        <is>
          <t>Lab metrics generated; field INP explicitly noted as not fabricated.</t>
        </is>
      </c>
    </row>
    <row r="48">
      <c r="A48" s="24" t="n">
        <v>44</v>
      </c>
      <c r="B48" s="24" t="inlineStr">
        <is>
          <t>Nagendra</t>
        </is>
      </c>
      <c r="C48" s="24" t="inlineStr">
        <is>
          <t>Locust load test: 4 users / 10s capped execution completes with 0 failures</t>
        </is>
      </c>
      <c r="D48" s="24" t="inlineStr">
        <is>
          <t>Pass</t>
        </is>
      </c>
      <c r="E48" s="24" t="inlineStr">
        <is>
          <t>82 requests processed, 0 errors (0%), p50 latency 48ms, p95 latency 82ms.</t>
        </is>
      </c>
    </row>
    <row r="49">
      <c r="A49" s="24" t="n">
        <v>45</v>
      </c>
      <c r="B49" s="24" t="inlineStr">
        <is>
          <t>Nagendra</t>
        </is>
      </c>
      <c r="C49" s="24" t="inlineStr">
        <is>
          <t>Deduplication &amp; verification: 31 deduped findings, 27 verified by secondary re-test</t>
        </is>
      </c>
      <c r="D49" s="24" t="inlineStr">
        <is>
          <t>Pass</t>
        </is>
      </c>
      <c r="E49" s="24" t="inlineStr">
        <is>
          <t>Re-test runner verified 87.1% of findings empirically; 4 marked Possible.</t>
        </is>
      </c>
    </row>
  </sheetData>
  <autoFilter ref="A4:E31"/>
  <conditionalFormatting sqref="D5:D31">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5.xml><?xml version="1.0" encoding="utf-8"?>
<worksheet xmlns="http://schemas.openxmlformats.org/spreadsheetml/2006/main">
  <sheetPr>
    <outlinePr summaryBelow="1" summaryRight="1"/>
    <pageSetUpPr fitToPage="1"/>
  </sheetPr>
  <dimension ref="A1:E19"/>
  <sheetViews>
    <sheetView showGridLines="0" zoomScaleNormal="100" workbookViewId="0">
      <selection activeCell="A1" sqref="A1"/>
    </sheetView>
  </sheetViews>
  <sheetFormatPr baseColWidth="8" defaultColWidth="8.7109375" defaultRowHeight="15" outlineLevelCol="0"/>
  <cols>
    <col width="44" customWidth="1" min="1" max="1"/>
    <col width="52" customWidth="1" min="2" max="2"/>
    <col width="34" customWidth="1" min="3" max="3"/>
    <col width="48" customWidth="1" min="4" max="4"/>
    <col width="10" customWidth="1" min="5" max="5"/>
  </cols>
  <sheetData>
    <row r="1" ht="19.7" customHeight="1">
      <c r="A1" s="3" t="inlineStr">
        <is>
          <t>Automated Tests</t>
        </is>
      </c>
    </row>
    <row r="2">
      <c r="A2" s="4" t="inlineStr">
        <is>
          <t>Latest run: 186 tests, 0 failed. (The older 146-test run is kept on the Notes sheet only.)</t>
        </is>
      </c>
    </row>
    <row r="4">
      <c r="A4" s="5" t="inlineStr">
        <is>
          <t>A. Tests by area</t>
        </is>
      </c>
    </row>
    <row r="5">
      <c r="A5" s="20" t="inlineStr">
        <is>
          <t>Test file(s)</t>
        </is>
      </c>
      <c r="B5" s="20" t="inlineStr">
        <is>
          <t>What it covers</t>
        </is>
      </c>
      <c r="C5" s="20" t="inlineStr">
        <is>
          <t>Tests</t>
        </is>
      </c>
      <c r="D5" s="20" t="inlineStr">
        <is>
          <t>Result</t>
        </is>
      </c>
    </row>
    <row r="6">
      <c r="A6" s="19" t="inlineStr">
        <is>
          <t>tests/test_policy.py</t>
        </is>
      </c>
      <c r="B6" s="19" t="inlineStr">
        <is>
          <t>Authorization, attestation, exact-origin, SSRF, URL sanitizer</t>
        </is>
      </c>
      <c r="C6" s="7" t="n">
        <v>44</v>
      </c>
      <c r="D6" s="7" t="inlineStr">
        <is>
          <t>Pass</t>
        </is>
      </c>
    </row>
    <row r="7">
      <c r="A7" s="19" t="inlineStr">
        <is>
          <t>tests/test_extra_scanners.py</t>
        </is>
      </c>
      <c r="B7" s="19" t="inlineStr">
        <is>
          <t>k6/Nikto/sqlmap gating, opt-in, honest skip, parsing</t>
        </is>
      </c>
      <c r="C7" s="7" t="n">
        <v>13</v>
      </c>
      <c r="D7" s="7" t="inlineStr">
        <is>
          <t>Pass</t>
        </is>
      </c>
    </row>
    <row r="8">
      <c r="A8" s="19" t="inlineStr">
        <is>
          <t>tests/test_zap_integration.py</t>
        </is>
      </c>
      <c r="B8" s="19" t="inlineStr">
        <is>
          <t>ZAP passive parsing + fixed mock signature</t>
        </is>
      </c>
      <c r="C8" s="7" t="n">
        <v>6</v>
      </c>
      <c r="D8" s="7" t="inlineStr">
        <is>
          <t>Pass</t>
        </is>
      </c>
    </row>
    <row r="9" ht="23.85" customHeight="1">
      <c r="A9" s="19" t="inlineStr">
        <is>
          <t>tests/test_practice_app.py, test_security_checks.py, test_performance_metrics.py ...</t>
        </is>
      </c>
      <c r="B9" s="19" t="inlineStr">
        <is>
          <t>Crawl scope, scanners, scoring, exports, full pipeline</t>
        </is>
      </c>
      <c r="C9" s="7" t="n">
        <v>123</v>
      </c>
      <c r="D9" s="7" t="inlineStr">
        <is>
          <t>Pass</t>
        </is>
      </c>
    </row>
    <row r="10">
      <c r="A10" s="10" t="inlineStr">
        <is>
          <t>TOTAL</t>
        </is>
      </c>
      <c r="B10" s="10" t="inlineStr">
        <is>
          <t>Full regression run: cd backend &amp;&amp; python -m pytest -q</t>
        </is>
      </c>
      <c r="C10" s="9">
        <f>SUM(C6:C9)</f>
        <v/>
      </c>
      <c r="D10" s="9">
        <f>IF(COUNTIF(D6:D9,"Pass")=ROWS(D6:D9),"Pass","Check")</f>
        <v/>
      </c>
    </row>
    <row r="12">
      <c r="A12" s="5" t="inlineStr">
        <is>
          <t>B. Release gates (must all pass)</t>
        </is>
      </c>
    </row>
    <row r="13">
      <c r="A13" s="20" t="inlineStr">
        <is>
          <t>Gate</t>
        </is>
      </c>
      <c r="B13" s="20" t="inlineStr">
        <is>
          <t>Command</t>
        </is>
      </c>
      <c r="C13" s="20" t="inlineStr">
        <is>
          <t>Needed to pass</t>
        </is>
      </c>
      <c r="D13" s="20" t="inlineStr">
        <is>
          <t>Actual result</t>
        </is>
      </c>
      <c r="E13" s="20" t="inlineStr">
        <is>
          <t>Status</t>
        </is>
      </c>
    </row>
    <row r="14">
      <c r="A14" s="19" t="inlineStr">
        <is>
          <t>G1 Full tests</t>
        </is>
      </c>
      <c r="B14" s="19" t="inlineStr">
        <is>
          <t>cd backend &amp;&amp; python -m pytest -q</t>
        </is>
      </c>
      <c r="C14" s="19" t="inlineStr">
        <is>
          <t>0 failed</t>
        </is>
      </c>
      <c r="D14" s="19" t="inlineStr">
        <is>
          <t>186 collected; 185 fast + 1 slow passed, 0 failed</t>
        </is>
      </c>
      <c r="E14" s="7" t="inlineStr">
        <is>
          <t>Pass</t>
        </is>
      </c>
    </row>
    <row r="15">
      <c r="A15" s="19" t="inlineStr">
        <is>
          <t>G2 Fast subset</t>
        </is>
      </c>
      <c r="B15" s="19" t="inlineStr">
        <is>
          <t>python -m pytest -q -m 'not slow'</t>
        </is>
      </c>
      <c r="C15" s="19" t="inlineStr">
        <is>
          <t>0 failed</t>
        </is>
      </c>
      <c r="D15" s="19" t="inlineStr">
        <is>
          <t>185 passed, 0 failed (~58s)</t>
        </is>
      </c>
      <c r="E15" s="7" t="inlineStr">
        <is>
          <t>Pass</t>
        </is>
      </c>
    </row>
    <row r="16">
      <c r="A16" s="19" t="inlineStr">
        <is>
          <t>G3 New scanners</t>
        </is>
      </c>
      <c r="B16" s="19" t="inlineStr">
        <is>
          <t>python -m pytest tests/test_extra_scanners.py -q</t>
        </is>
      </c>
      <c r="C16" s="19" t="inlineStr">
        <is>
          <t>Gating + honest skips + parsing</t>
        </is>
      </c>
      <c r="D16" s="19" t="inlineStr">
        <is>
          <t>13 passed (k6/Nikto/sqlmap)</t>
        </is>
      </c>
      <c r="E16" s="7" t="inlineStr">
        <is>
          <t>Pass</t>
        </is>
      </c>
    </row>
    <row r="17">
      <c r="A17" s="19" t="inlineStr">
        <is>
          <t>G4 Authorization</t>
        </is>
      </c>
      <c r="B17" s="19" t="inlineStr">
        <is>
          <t>python -m pytest tests/test_policy.py -q</t>
        </is>
      </c>
      <c r="C17" s="19" t="inlineStr">
        <is>
          <t>Attestation + exact-origin + persist/revoke</t>
        </is>
      </c>
      <c r="D17" s="19" t="inlineStr">
        <is>
          <t>44 passed (incl. 4 new auth tests)</t>
        </is>
      </c>
      <c r="E17" s="7" t="inlineStr">
        <is>
          <t>Pass</t>
        </is>
      </c>
    </row>
    <row r="18">
      <c r="A18" s="19" t="inlineStr">
        <is>
          <t>G5 Frontend build</t>
        </is>
      </c>
      <c r="B18" s="19" t="inlineStr">
        <is>
          <t>cd frontend &amp;&amp; npm install &amp;&amp; npm run build</t>
        </is>
      </c>
      <c r="C18" s="19" t="inlineStr">
        <is>
          <t>tsc + vite emit, 0 errors</t>
        </is>
      </c>
      <c r="D18" s="19" t="inlineStr">
        <is>
          <t>Built dist/assets/index-CaJTq-Xt.js; served live</t>
        </is>
      </c>
      <c r="E18" s="7" t="inlineStr">
        <is>
          <t>Pass</t>
        </is>
      </c>
    </row>
    <row r="19">
      <c r="A19" s="19" t="inlineStr">
        <is>
          <t>G6 End-to-end</t>
        </is>
      </c>
      <c r="B19" s="19" t="inlineStr">
        <is>
          <t>live job via /api/jobs on practice app</t>
        </is>
      </c>
      <c r="C19" s="19" t="inlineStr">
        <is>
          <t>Job completes; honest report</t>
        </is>
      </c>
      <c r="D19" s="19" t="inlineStr">
        <is>
          <t>Completed; 58/100, 7 pages, 27/31 verified</t>
        </is>
      </c>
      <c r="E19" s="7" t="inlineStr">
        <is>
          <t>Pass</t>
        </is>
      </c>
    </row>
  </sheetData>
  <conditionalFormatting sqref="D6:D10">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conditionalFormatting sqref="E14:E19">
    <cfRule type="cellIs" priority="9" operator="equal" dxfId="3">
      <formula>"Done"</formula>
    </cfRule>
    <cfRule type="cellIs" priority="10" operator="equal" dxfId="3">
      <formula>"Pass"</formula>
    </cfRule>
    <cfRule type="cellIs" priority="11" operator="equal" dxfId="3">
      <formula>"Verified"</formula>
    </cfRule>
    <cfRule type="cellIs" priority="12" operator="equal" dxfId="3">
      <formula>"Resolved"</formula>
    </cfRule>
    <cfRule type="cellIs" priority="13" operator="equal" dxfId="0">
      <formula>"Possible"</formula>
    </cfRule>
    <cfRule type="cellIs" priority="14" operator="equal" dxfId="0">
      <formula>"Mitigated"</formula>
    </cfRule>
    <cfRule type="cellIs" priority="15"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6.xml><?xml version="1.0" encoding="utf-8"?>
<worksheet xmlns="http://schemas.openxmlformats.org/spreadsheetml/2006/main">
  <sheetPr>
    <outlinePr summaryBelow="1" summaryRight="1"/>
    <pageSetUpPr fitToPage="1"/>
  </sheetPr>
  <dimension ref="A1:H35"/>
  <sheetViews>
    <sheetView showGridLines="0" zoomScaleNormal="100" workbookViewId="0">
      <pane ySplit="4" topLeftCell="A15" activePane="bottomLeft" state="frozen"/>
      <selection pane="bottomLeft" activeCell="A1" sqref="A1"/>
    </sheetView>
  </sheetViews>
  <sheetFormatPr baseColWidth="8" defaultColWidth="8.7109375" defaultRowHeight="15" outlineLevelCol="0"/>
  <cols>
    <col width="10" customWidth="1" min="1" max="1"/>
    <col width="50" customWidth="1" min="2" max="2"/>
    <col width="14" customWidth="1" min="3" max="3"/>
    <col width="10" customWidth="1" min="4" max="4"/>
    <col width="11" customWidth="1" min="5" max="5"/>
    <col width="40" customWidth="1" min="6" max="6"/>
    <col width="30" customWidth="1" min="7" max="7"/>
    <col width="60" customWidth="1" min="8" max="8"/>
  </cols>
  <sheetData>
    <row r="1" ht="19.7" customHeight="1">
      <c r="A1" s="3" t="inlineStr">
        <is>
          <t>Practice-Site Findings (latest real scan)</t>
        </is>
      </c>
    </row>
    <row r="2">
      <c r="A2" s="4" t="inlineStr">
        <is>
          <t>31 distinct findings from 152 raw alerts. Target: http://127.0.0.1:8765/ . Scan date: 13 Oct 2026. Rows are real scan output, not made up.</t>
        </is>
      </c>
    </row>
    <row r="4">
      <c r="A4" s="20" t="inlineStr">
        <is>
          <t>ID</t>
        </is>
      </c>
      <c r="B4" s="20" t="inlineStr">
        <is>
          <t>Issue</t>
        </is>
      </c>
      <c r="C4" s="20" t="inlineStr">
        <is>
          <t>Area</t>
        </is>
      </c>
      <c r="D4" s="20" t="inlineStr">
        <is>
          <t>Severity</t>
        </is>
      </c>
      <c r="E4" s="20" t="inlineStr">
        <is>
          <t>Status</t>
        </is>
      </c>
      <c r="F4" s="20" t="inlineStr">
        <is>
          <t>Where (URL)</t>
        </is>
      </c>
      <c r="G4" s="20" t="inlineStr">
        <is>
          <t>Found by</t>
        </is>
      </c>
      <c r="H4" s="20" t="inlineStr">
        <is>
          <t>How to fix</t>
        </is>
      </c>
    </row>
    <row r="5" ht="23.85" customHeight="1">
      <c r="A5" s="7" t="inlineStr">
        <is>
          <t>FIND-001</t>
        </is>
      </c>
      <c r="B5" s="19" t="inlineStr">
        <is>
          <t>Images must have alternative text</t>
        </is>
      </c>
      <c r="C5" s="7" t="inlineStr">
        <is>
          <t>Accessibility</t>
        </is>
      </c>
      <c r="D5" s="7" t="inlineStr">
        <is>
          <t>High</t>
        </is>
      </c>
      <c r="E5" s="7" t="inlineStr">
        <is>
          <t>Verified</t>
        </is>
      </c>
      <c r="F5" s="19" t="inlineStr">
        <is>
          <t>http://127.0.0.1:8765/</t>
        </is>
      </c>
      <c r="G5" s="19" t="inlineStr">
        <is>
          <t>axe-core</t>
        </is>
      </c>
      <c r="H5" s="19" t="inlineStr">
        <is>
          <t>Correct the affected element according to the image-alt rule. Guidance: https://dequeuniversity.com/rules/axe/4.10/image-alt?application=axeAPI</t>
        </is>
      </c>
    </row>
    <row r="6" ht="35.1" customHeight="1">
      <c r="A6" s="7" t="inlineStr">
        <is>
          <t>FIND-002</t>
        </is>
      </c>
      <c r="B6" s="19" t="inlineStr">
        <is>
          <t>Elements must meet minimum color contrast ratio thresholds</t>
        </is>
      </c>
      <c r="C6" s="7" t="inlineStr">
        <is>
          <t>Accessibility</t>
        </is>
      </c>
      <c r="D6" s="7" t="inlineStr">
        <is>
          <t>High</t>
        </is>
      </c>
      <c r="E6" s="7" t="inlineStr">
        <is>
          <t>Verified</t>
        </is>
      </c>
      <c r="F6" s="19" t="inlineStr">
        <is>
          <t>http://127.0.0.1:8765/about</t>
        </is>
      </c>
      <c r="G6" s="19" t="inlineStr">
        <is>
          <t>axe-core</t>
        </is>
      </c>
      <c r="H6" s="19" t="inlineStr">
        <is>
          <t>Correct the affected element according to the color-contrast rule. Guidance: https://dequeuniversity.com/rules/axe/4.10/color-contrast?application=axeAPI</t>
        </is>
      </c>
    </row>
    <row r="7" ht="23.85" customHeight="1">
      <c r="A7" s="7" t="inlineStr">
        <is>
          <t>FIND-003</t>
        </is>
      </c>
      <c r="B7" s="19" t="inlineStr">
        <is>
          <t>Form elements must have labels</t>
        </is>
      </c>
      <c r="C7" s="7" t="inlineStr">
        <is>
          <t>Accessibility</t>
        </is>
      </c>
      <c r="D7" s="7" t="inlineStr">
        <is>
          <t>High</t>
        </is>
      </c>
      <c r="E7" s="7" t="inlineStr">
        <is>
          <t>Verified</t>
        </is>
      </c>
      <c r="F7" s="19" t="inlineStr">
        <is>
          <t>http://127.0.0.1:8765/contact</t>
        </is>
      </c>
      <c r="G7" s="19" t="inlineStr">
        <is>
          <t>axe-core</t>
        </is>
      </c>
      <c r="H7" s="19" t="inlineStr">
        <is>
          <t>Correct the affected element according to the label rule. Guidance: https://dequeuniversity.com/rules/axe/4.10/label?application=axeAPI</t>
        </is>
      </c>
    </row>
    <row r="8" ht="23.85" customHeight="1">
      <c r="A8" s="7" t="inlineStr">
        <is>
          <t>FIND-004</t>
        </is>
      </c>
      <c r="B8" s="19" t="inlineStr">
        <is>
          <t>Form elements must have labels</t>
        </is>
      </c>
      <c r="C8" s="7" t="inlineStr">
        <is>
          <t>Accessibility</t>
        </is>
      </c>
      <c r="D8" s="7" t="inlineStr">
        <is>
          <t>High</t>
        </is>
      </c>
      <c r="E8" s="7" t="inlineStr">
        <is>
          <t>Verified</t>
        </is>
      </c>
      <c r="F8" s="19" t="inlineStr">
        <is>
          <t>http://127.0.0.1:8765/contact</t>
        </is>
      </c>
      <c r="G8" s="19" t="inlineStr">
        <is>
          <t>axe-core</t>
        </is>
      </c>
      <c r="H8" s="19" t="inlineStr">
        <is>
          <t>Correct the affected element according to the label rule. Guidance: https://dequeuniversity.com/rules/axe/4.10/label?application=axeAPI</t>
        </is>
      </c>
    </row>
    <row r="9" ht="23.85" customHeight="1">
      <c r="A9" s="7" t="inlineStr">
        <is>
          <t>FIND-005</t>
        </is>
      </c>
      <c r="B9" s="19" t="inlineStr">
        <is>
          <t>Form elements must have labels</t>
        </is>
      </c>
      <c r="C9" s="7" t="inlineStr">
        <is>
          <t>Accessibility</t>
        </is>
      </c>
      <c r="D9" s="7" t="inlineStr">
        <is>
          <t>High</t>
        </is>
      </c>
      <c r="E9" s="7" t="inlineStr">
        <is>
          <t>Verified</t>
        </is>
      </c>
      <c r="F9" s="19" t="inlineStr">
        <is>
          <t>http://127.0.0.1:8765/contact</t>
        </is>
      </c>
      <c r="G9" s="19" t="inlineStr">
        <is>
          <t>axe-core</t>
        </is>
      </c>
      <c r="H9" s="19" t="inlineStr">
        <is>
          <t>Correct the affected element according to the label rule. Guidance: https://dequeuniversity.com/rules/axe/4.10/label?application=axeAPI</t>
        </is>
      </c>
    </row>
    <row r="10" ht="35.1" customHeight="1">
      <c r="A10" s="7" t="inlineStr">
        <is>
          <t>FIND-006</t>
        </is>
      </c>
      <c r="B10" s="19" t="inlineStr">
        <is>
          <t>Buttons must have discernible text</t>
        </is>
      </c>
      <c r="C10" s="7" t="inlineStr">
        <is>
          <t>Accessibility</t>
        </is>
      </c>
      <c r="D10" s="7" t="inlineStr">
        <is>
          <t>High</t>
        </is>
      </c>
      <c r="E10" s="7" t="inlineStr">
        <is>
          <t>Verified</t>
        </is>
      </c>
      <c r="F10" s="19" t="inlineStr">
        <is>
          <t>http://127.0.0.1:8765/products</t>
        </is>
      </c>
      <c r="G10" s="19" t="inlineStr">
        <is>
          <t>axe-core</t>
        </is>
      </c>
      <c r="H10" s="19" t="inlineStr">
        <is>
          <t>Correct the affected element according to the button-name rule. Guidance: https://dequeuniversity.com/rules/axe/4.10/button-name?application=axeAPI</t>
        </is>
      </c>
    </row>
    <row r="11" ht="23.85" customHeight="1">
      <c r="A11" s="7" t="inlineStr">
        <is>
          <t>FIND-007</t>
        </is>
      </c>
      <c r="B11" s="19" t="inlineStr">
        <is>
          <t>Links must have discernible text</t>
        </is>
      </c>
      <c r="C11" s="7" t="inlineStr">
        <is>
          <t>Accessibility</t>
        </is>
      </c>
      <c r="D11" s="7" t="inlineStr">
        <is>
          <t>High</t>
        </is>
      </c>
      <c r="E11" s="7" t="inlineStr">
        <is>
          <t>Verified</t>
        </is>
      </c>
      <c r="F11" s="19" t="inlineStr">
        <is>
          <t>http://127.0.0.1:8765/products</t>
        </is>
      </c>
      <c r="G11" s="19" t="inlineStr">
        <is>
          <t>axe-core</t>
        </is>
      </c>
      <c r="H11" s="19" t="inlineStr">
        <is>
          <t>Correct the affected element according to the link-name rule. Guidance: https://dequeuniversity.com/rules/axe/4.10/link-name?application=axeAPI</t>
        </is>
      </c>
    </row>
    <row r="12" ht="23.85" customHeight="1">
      <c r="A12" s="7" t="inlineStr">
        <is>
          <t>FIND-008</t>
        </is>
      </c>
      <c r="B12" s="19" t="inlineStr">
        <is>
          <t>Sensitive environment file is publicly exposed</t>
        </is>
      </c>
      <c r="C12" s="7" t="inlineStr">
        <is>
          <t>Security</t>
        </is>
      </c>
      <c r="D12" s="7" t="inlineStr">
        <is>
          <t>High</t>
        </is>
      </c>
      <c r="E12" s="7" t="inlineStr">
        <is>
          <t>Verified</t>
        </is>
      </c>
      <c r="F12" s="19" t="inlineStr">
        <is>
          <t>http://127.0.0.1:8765/.env</t>
        </is>
      </c>
      <c r="G12" s="19" t="inlineStr">
        <is>
          <t>Custom HTTP checks, Nuclei (curated read-only templates)</t>
        </is>
      </c>
      <c r="H12" s="19" t="inlineStr">
        <is>
          <t>Ensure sensitive files are not publicly accessible and use environment variables for configuration.</t>
        </is>
      </c>
    </row>
    <row r="13" ht="23.85" customHeight="1">
      <c r="A13" s="7" t="inlineStr">
        <is>
          <t>FIND-009</t>
        </is>
      </c>
      <c r="B13" s="19" t="inlineStr">
        <is>
          <t>Git repository metadata is publicly exposed</t>
        </is>
      </c>
      <c r="C13" s="7" t="inlineStr">
        <is>
          <t>Security</t>
        </is>
      </c>
      <c r="D13" s="7" t="inlineStr">
        <is>
          <t>High</t>
        </is>
      </c>
      <c r="E13" s="7" t="inlineStr">
        <is>
          <t>Verified</t>
        </is>
      </c>
      <c r="F13" s="19" t="inlineStr">
        <is>
          <t>http://127.0.0.1:8765/.git/HEAD</t>
        </is>
      </c>
      <c r="G13" s="19" t="inlineStr">
        <is>
          <t>Custom HTTP checks, Nuclei (curated read-only templates)</t>
        </is>
      </c>
      <c r="H13" s="19" t="inlineStr">
        <is>
          <t>Implement a Git Repository Access Control (GRC) policy to restrict access to the deployment file.</t>
        </is>
      </c>
    </row>
    <row r="14" ht="23.85" customHeight="1">
      <c r="A14" s="7" t="inlineStr">
        <is>
          <t>FIND-010</t>
        </is>
      </c>
      <c r="B14" s="19" t="inlineStr">
        <is>
          <t>Img element missing an alt attribute. Use the alt attribute to specify a short text alternative.</t>
        </is>
      </c>
      <c r="C14" s="7" t="inlineStr">
        <is>
          <t>Accessibility</t>
        </is>
      </c>
      <c r="D14" s="7" t="inlineStr">
        <is>
          <t>Medium</t>
        </is>
      </c>
      <c r="E14" s="7" t="inlineStr">
        <is>
          <t>Verified</t>
        </is>
      </c>
      <c r="F14" s="19" t="inlineStr">
        <is>
          <t>http://127.0.0.1:8765/</t>
        </is>
      </c>
      <c r="G14" s="19" t="inlineStr">
        <is>
          <t>Pa11y / HTML_CodeSniffer</t>
        </is>
      </c>
      <c r="H14" s="19" t="inlineStr">
        <is>
          <t>Correct the semantic markup or style described by this WCAG rule and verify with Pa11y plus keyboard testing.</t>
        </is>
      </c>
    </row>
    <row r="15" ht="35.1" customHeight="1">
      <c r="A15" s="7" t="inlineStr">
        <is>
          <t>FIND-011</t>
        </is>
      </c>
      <c r="B15" s="19" t="inlineStr">
        <is>
          <t>Heading levels should only increase by one</t>
        </is>
      </c>
      <c r="C15" s="7" t="inlineStr">
        <is>
          <t>Accessibility</t>
        </is>
      </c>
      <c r="D15" s="7" t="inlineStr">
        <is>
          <t>Medium</t>
        </is>
      </c>
      <c r="E15" s="7" t="inlineStr">
        <is>
          <t>Verified</t>
        </is>
      </c>
      <c r="F15" s="19" t="inlineStr">
        <is>
          <t>http://127.0.0.1:8765/about</t>
        </is>
      </c>
      <c r="G15" s="19" t="inlineStr">
        <is>
          <t>axe-core</t>
        </is>
      </c>
      <c r="H15" s="19" t="inlineStr">
        <is>
          <t>Correct the affected element according to the heading-order rule. Guidance: https://dequeuniversity.com/rules/axe/4.10/heading-order?application=axeAPI</t>
        </is>
      </c>
    </row>
    <row r="16" ht="46.35" customHeight="1">
      <c r="A16" s="7" t="inlineStr">
        <is>
          <t>FIND-012</t>
        </is>
      </c>
      <c r="B16" s="19" t="inlineStr">
        <is>
          <t>This element has insufficient contrast at this conformance level. Expected a contrast ratio of at least 4.5:1, but text in this element has a contrast ratio of 1.92:1. Recommendation:  change text colour to #767676.</t>
        </is>
      </c>
      <c r="C16" s="7" t="inlineStr">
        <is>
          <t>Accessibility</t>
        </is>
      </c>
      <c r="D16" s="7" t="inlineStr">
        <is>
          <t>Medium</t>
        </is>
      </c>
      <c r="E16" s="7" t="inlineStr">
        <is>
          <t>Verified</t>
        </is>
      </c>
      <c r="F16" s="19" t="inlineStr">
        <is>
          <t>http://127.0.0.1:8765/about</t>
        </is>
      </c>
      <c r="G16" s="19" t="inlineStr">
        <is>
          <t>Pa11y / HTML_CodeSniffer</t>
        </is>
      </c>
      <c r="H16" s="19" t="inlineStr">
        <is>
          <t>Correct the semantic markup or style described by this WCAG rule and verify with Pa11y plus keyboard testing.</t>
        </is>
      </c>
    </row>
    <row r="17" ht="23.85" customHeight="1">
      <c r="A17" s="7" t="inlineStr">
        <is>
          <t>FIND-013</t>
        </is>
      </c>
      <c r="B17" s="19" t="inlineStr">
        <is>
          <t>Anchor element found with a valid href attribute, but no link content has been supplied.</t>
        </is>
      </c>
      <c r="C17" s="7" t="inlineStr">
        <is>
          <t>Accessibility</t>
        </is>
      </c>
      <c r="D17" s="7" t="inlineStr">
        <is>
          <t>Medium</t>
        </is>
      </c>
      <c r="E17" s="7" t="inlineStr">
        <is>
          <t>Verified</t>
        </is>
      </c>
      <c r="F17" s="19" t="inlineStr">
        <is>
          <t>http://127.0.0.1:8765/products</t>
        </is>
      </c>
      <c r="G17" s="19" t="inlineStr">
        <is>
          <t>Pa11y / HTML_CodeSniffer</t>
        </is>
      </c>
      <c r="H17" s="19" t="inlineStr">
        <is>
          <t>Correct the semantic markup or style described by this WCAG rule and verify with Pa11y plus keyboard testing.</t>
        </is>
      </c>
    </row>
    <row r="18" ht="35.1" customHeight="1">
      <c r="A18" s="7" t="inlineStr">
        <is>
          <t>FIND-014</t>
        </is>
      </c>
      <c r="B18" s="19" t="inlineStr">
        <is>
          <t>This button element does not have a name available to an accessibility API. Valid names are: title undefined, element content, aria-label undefined, aria-labelledby undefined.</t>
        </is>
      </c>
      <c r="C18" s="7" t="inlineStr">
        <is>
          <t>Accessibility</t>
        </is>
      </c>
      <c r="D18" s="7" t="inlineStr">
        <is>
          <t>Medium</t>
        </is>
      </c>
      <c r="E18" s="7" t="inlineStr">
        <is>
          <t>Verified</t>
        </is>
      </c>
      <c r="F18" s="19" t="inlineStr">
        <is>
          <t>http://127.0.0.1:8765/products</t>
        </is>
      </c>
      <c r="G18" s="19" t="inlineStr">
        <is>
          <t>Pa11y / HTML_CodeSniffer</t>
        </is>
      </c>
      <c r="H18" s="19" t="inlineStr">
        <is>
          <t>Correct the semantic markup or style described by this WCAG rule and verify with Pa11y plus keyboard testing.</t>
        </is>
      </c>
    </row>
    <row r="19" ht="23.85" customHeight="1">
      <c r="A19" s="7" t="inlineStr">
        <is>
          <t>FIND-015</t>
        </is>
      </c>
      <c r="B19" s="19" t="inlineStr">
        <is>
          <t>Browser console or script error</t>
        </is>
      </c>
      <c r="C19" s="7" t="inlineStr">
        <is>
          <t>Functionality</t>
        </is>
      </c>
      <c r="D19" s="7" t="inlineStr">
        <is>
          <t>Medium</t>
        </is>
      </c>
      <c r="E19" s="7" t="inlineStr">
        <is>
          <t>Verified</t>
        </is>
      </c>
      <c r="F19" s="19" t="inlineStr">
        <is>
          <t>http://127.0.0.1:8765/</t>
        </is>
      </c>
      <c r="G19" s="19" t="inlineStr">
        <is>
          <t>Playwright</t>
        </is>
      </c>
      <c r="H19" s="19" t="inlineStr">
        <is>
          <t>Reproduce in the browser console, fix the failing script or request, and verify after clearing errors.</t>
        </is>
      </c>
    </row>
    <row r="20" ht="23.85" customHeight="1">
      <c r="A20" s="7" t="inlineStr">
        <is>
          <t>FIND-016</t>
        </is>
      </c>
      <c r="B20" s="19" t="inlineStr">
        <is>
          <t>Browser console or script error</t>
        </is>
      </c>
      <c r="C20" s="7" t="inlineStr">
        <is>
          <t>Functionality</t>
        </is>
      </c>
      <c r="D20" s="7" t="inlineStr">
        <is>
          <t>Medium</t>
        </is>
      </c>
      <c r="E20" s="7" t="inlineStr">
        <is>
          <t>Verified</t>
        </is>
      </c>
      <c r="F20" s="19" t="inlineStr">
        <is>
          <t>http://127.0.0.1:8765/about</t>
        </is>
      </c>
      <c r="G20" s="19" t="inlineStr">
        <is>
          <t>Playwright</t>
        </is>
      </c>
      <c r="H20" s="19" t="inlineStr">
        <is>
          <t>Reproduce in the browser console, fix the failing script or request, and verify after clearing errors.</t>
        </is>
      </c>
    </row>
    <row r="21" ht="23.85" customHeight="1">
      <c r="A21" s="7" t="inlineStr">
        <is>
          <t>FIND-017</t>
        </is>
      </c>
      <c r="B21" s="19" t="inlineStr">
        <is>
          <t>Resource returns HTTP 404</t>
        </is>
      </c>
      <c r="C21" s="7" t="inlineStr">
        <is>
          <t>Functionality</t>
        </is>
      </c>
      <c r="D21" s="7" t="inlineStr">
        <is>
          <t>Medium</t>
        </is>
      </c>
      <c r="E21" s="7" t="inlineStr">
        <is>
          <t>Verified</t>
        </is>
      </c>
      <c r="F21" s="19" t="inlineStr">
        <is>
          <t>http://127.0.0.1:8765/assets/missing-banner.png</t>
        </is>
      </c>
      <c r="G21" s="19" t="inlineStr">
        <is>
          <t>Playwright</t>
        </is>
      </c>
      <c r="H21" s="19" t="inlineStr">
        <is>
          <t>Repair the endpoint or asset path and ensure the request returns the intended response.</t>
        </is>
      </c>
    </row>
    <row r="22" ht="23.85" customHeight="1">
      <c r="A22" s="7" t="inlineStr">
        <is>
          <t>FIND-018</t>
        </is>
      </c>
      <c r="B22" s="19" t="inlineStr">
        <is>
          <t>Browser console or script error</t>
        </is>
      </c>
      <c r="C22" s="7" t="inlineStr">
        <is>
          <t>Functionality</t>
        </is>
      </c>
      <c r="D22" s="7" t="inlineStr">
        <is>
          <t>Medium</t>
        </is>
      </c>
      <c r="E22" s="7" t="inlineStr">
        <is>
          <t>Verified</t>
        </is>
      </c>
      <c r="F22" s="19" t="inlineStr">
        <is>
          <t>http://127.0.0.1:8765/missing-page</t>
        </is>
      </c>
      <c r="G22" s="19" t="inlineStr">
        <is>
          <t>Playwright</t>
        </is>
      </c>
      <c r="H22" s="19" t="inlineStr">
        <is>
          <t>Reproduce in the browser console, fix the failing script or request, and verify after clearing errors.</t>
        </is>
      </c>
    </row>
    <row r="23" ht="23.85" customHeight="1">
      <c r="A23" s="7" t="inlineStr">
        <is>
          <t>FIND-019</t>
        </is>
      </c>
      <c r="B23" s="19" t="inlineStr">
        <is>
          <t>Resource returns HTTP 404</t>
        </is>
      </c>
      <c r="C23" s="7" t="inlineStr">
        <is>
          <t>Functionality</t>
        </is>
      </c>
      <c r="D23" s="7" t="inlineStr">
        <is>
          <t>Medium</t>
        </is>
      </c>
      <c r="E23" s="7" t="inlineStr">
        <is>
          <t>Verified</t>
        </is>
      </c>
      <c r="F23" s="19" t="inlineStr">
        <is>
          <t>http://127.0.0.1:8765/missing-page</t>
        </is>
      </c>
      <c r="G23" s="19" t="inlineStr">
        <is>
          <t>Playwright, HTTP link checker</t>
        </is>
      </c>
      <c r="H23" s="19" t="inlineStr">
        <is>
          <t>Repair the endpoint or asset path and ensure the request returns the intended response.</t>
        </is>
      </c>
    </row>
    <row r="24" ht="23.85" customHeight="1">
      <c r="A24" s="7" t="inlineStr">
        <is>
          <t>FIND-020</t>
        </is>
      </c>
      <c r="B24" s="19" t="inlineStr">
        <is>
          <t>Oversized resource</t>
        </is>
      </c>
      <c r="C24" s="7" t="inlineStr">
        <is>
          <t>Performance</t>
        </is>
      </c>
      <c r="D24" s="7" t="inlineStr">
        <is>
          <t>Medium</t>
        </is>
      </c>
      <c r="E24" s="7" t="inlineStr">
        <is>
          <t>Verified</t>
        </is>
      </c>
      <c r="F24" s="19" t="inlineStr">
        <is>
          <t>http://127.0.0.1:8765/assets/big.js</t>
        </is>
      </c>
      <c r="G24" s="19" t="inlineStr">
        <is>
          <t>HTTP resource audit</t>
        </is>
      </c>
      <c r="H24" s="19" t="inlineStr">
        <is>
          <t>Minify and compress (gzip/brotli), split or lazy-load rarely used code, resize images, and set long-lived cache headers.</t>
        </is>
      </c>
    </row>
    <row r="25" ht="23.85" customHeight="1">
      <c r="A25" s="7" t="inlineStr">
        <is>
          <t>FIND-021</t>
        </is>
      </c>
      <c r="B25" s="19" t="inlineStr">
        <is>
          <t>Slow page response</t>
        </is>
      </c>
      <c r="C25" s="7" t="inlineStr">
        <is>
          <t>Performance</t>
        </is>
      </c>
      <c r="D25" s="7" t="inlineStr">
        <is>
          <t>Medium</t>
        </is>
      </c>
      <c r="E25" s="7" t="inlineStr">
        <is>
          <t>Verified</t>
        </is>
      </c>
      <c r="F25" s="19" t="inlineStr">
        <is>
          <t>http://127.0.0.1:8765/slow</t>
        </is>
      </c>
      <c r="G25" s="19" t="inlineStr">
        <is>
          <t>HTTP timer (per-page)</t>
        </is>
      </c>
      <c r="H25" s="19" t="inlineStr">
        <is>
          <t>Profile server-side work for this route, cache expensive results, and avoid blocking calls before the response is sent.</t>
        </is>
      </c>
    </row>
    <row r="26" ht="23.85" customHeight="1">
      <c r="A26" s="7" t="inlineStr">
        <is>
          <t>FIND-022</t>
        </is>
      </c>
      <c r="B26" s="19" t="inlineStr">
        <is>
          <t>Content Security Policy is missing</t>
        </is>
      </c>
      <c r="C26" s="7" t="inlineStr">
        <is>
          <t>Security</t>
        </is>
      </c>
      <c r="D26" s="7" t="inlineStr">
        <is>
          <t>Medium</t>
        </is>
      </c>
      <c r="E26" s="7" t="inlineStr">
        <is>
          <t>Verified</t>
        </is>
      </c>
      <c r="F26" s="19" t="inlineStr">
        <is>
          <t>http://127.0.0.1:8765/</t>
        </is>
      </c>
      <c r="G26" s="19" t="inlineStr">
        <is>
          <t>Custom HTTP checks, Nuclei (curated read-only templates)</t>
        </is>
      </c>
      <c r="H26" s="19" t="inlineStr">
        <is>
          <t>Implement a Content Security Policy (CSP) to restrict script and resource execution.</t>
        </is>
      </c>
    </row>
    <row r="27" ht="23.85" customHeight="1">
      <c r="A27" s="7" t="inlineStr">
        <is>
          <t>FIND-023</t>
        </is>
      </c>
      <c r="B27" s="19" t="inlineStr">
        <is>
          <t>Cookie 'session_id' is missing protective flags</t>
        </is>
      </c>
      <c r="C27" s="7" t="inlineStr">
        <is>
          <t>Security</t>
        </is>
      </c>
      <c r="D27" s="7" t="inlineStr">
        <is>
          <t>Medium</t>
        </is>
      </c>
      <c r="E27" s="7" t="inlineStr">
        <is>
          <t>Verified</t>
        </is>
      </c>
      <c r="F27" s="19" t="inlineStr">
        <is>
          <t>http://127.0.0.1:8765/</t>
        </is>
      </c>
      <c r="G27" s="19" t="inlineStr">
        <is>
          <t>Custom HTTP checks</t>
        </is>
      </c>
      <c r="H27" s="19" t="inlineStr">
        <is>
          <t>Implement a Secure and HttpOnly flag on the session cookie to prevent session hijacking.</t>
        </is>
      </c>
    </row>
    <row r="28" ht="23.85" customHeight="1">
      <c r="A28" s="7" t="inlineStr">
        <is>
          <t>FIND-024</t>
        </is>
      </c>
      <c r="B28" s="19" t="inlineStr">
        <is>
          <t>Framing protection is missing</t>
        </is>
      </c>
      <c r="C28" s="7" t="inlineStr">
        <is>
          <t>Security</t>
        </is>
      </c>
      <c r="D28" s="7" t="inlineStr">
        <is>
          <t>Medium</t>
        </is>
      </c>
      <c r="E28" s="7" t="inlineStr">
        <is>
          <t>Verified</t>
        </is>
      </c>
      <c r="F28" s="19" t="inlineStr">
        <is>
          <t>http://127.0.0.1:8765/</t>
        </is>
      </c>
      <c r="G28" s="19" t="inlineStr">
        <is>
          <t>Custom HTTP checks</t>
        </is>
      </c>
      <c r="H28" s="19" t="inlineStr">
        <is>
          <t>Implement a Framing Protection (FP) policy to prevent embedding this page in a frame.</t>
        </is>
      </c>
    </row>
    <row r="29" ht="23.85" customHeight="1">
      <c r="A29" s="7" t="inlineStr">
        <is>
          <t>FIND-025</t>
        </is>
      </c>
      <c r="B29" s="19" t="inlineStr">
        <is>
          <t>Unescaped input reflection may permit HTML injection</t>
        </is>
      </c>
      <c r="C29" s="7" t="inlineStr">
        <is>
          <t>Security</t>
        </is>
      </c>
      <c r="D29" s="7" t="inlineStr">
        <is>
          <t>Medium</t>
        </is>
      </c>
      <c r="E29" s="7" t="inlineStr">
        <is>
          <t>Possible</t>
        </is>
      </c>
      <c r="F29" s="19" t="inlineStr">
        <is>
          <t>http://127.0.0.1:8765/search</t>
        </is>
      </c>
      <c r="G29" s="19" t="inlineStr">
        <is>
          <t>Custom HTTP checks</t>
        </is>
      </c>
      <c r="H29" s="19" t="inlineStr">
        <is>
          <t>Use parameterized queries or prepared statements to prevent unescaped input from being reflected.</t>
        </is>
      </c>
    </row>
    <row r="30" ht="23.85" customHeight="1">
      <c r="A30" s="7" t="inlineStr">
        <is>
          <t>FIND-026</t>
        </is>
      </c>
      <c r="B30" s="19" t="inlineStr">
        <is>
          <t>Broken image</t>
        </is>
      </c>
      <c r="C30" s="7" t="inlineStr">
        <is>
          <t>Functionality</t>
        </is>
      </c>
      <c r="D30" s="7" t="inlineStr">
        <is>
          <t>Low</t>
        </is>
      </c>
      <c r="E30" s="7" t="inlineStr">
        <is>
          <t>Verified</t>
        </is>
      </c>
      <c r="F30" s="19" t="inlineStr">
        <is>
          <t>http://127.0.0.1:8765/</t>
        </is>
      </c>
      <c r="G30" s="19" t="inlineStr">
        <is>
          <t>Playwright</t>
        </is>
      </c>
      <c r="H30" s="19" t="inlineStr">
        <is>
          <t>Fix the image URL, serve a valid image format, and add meaningful alternate text.</t>
        </is>
      </c>
    </row>
    <row r="31" ht="23.85" customHeight="1">
      <c r="A31" s="7" t="inlineStr">
        <is>
          <t>FIND-027</t>
        </is>
      </c>
      <c r="B31" s="19" t="inlineStr">
        <is>
          <t>Content type sniffing protection is missing</t>
        </is>
      </c>
      <c r="C31" s="7" t="inlineStr">
        <is>
          <t>Security</t>
        </is>
      </c>
      <c r="D31" s="7" t="inlineStr">
        <is>
          <t>Low</t>
        </is>
      </c>
      <c r="E31" s="7" t="inlineStr">
        <is>
          <t>Verified</t>
        </is>
      </c>
      <c r="F31" s="19" t="inlineStr">
        <is>
          <t>http://127.0.0.1:8765/</t>
        </is>
      </c>
      <c r="G31" s="19" t="inlineStr">
        <is>
          <t>Custom HTTP checks</t>
        </is>
      </c>
      <c r="H31" s="19" t="inlineStr">
        <is>
          <t>Implement a Content Type Negotiation (CTN) policy to respect the declared content type.</t>
        </is>
      </c>
    </row>
    <row r="32" ht="23.85" customHeight="1">
      <c r="A32" s="7" t="inlineStr">
        <is>
          <t>FIND-028</t>
        </is>
      </c>
      <c r="B32" s="19" t="inlineStr">
        <is>
          <t>Referrer Policy is missing</t>
        </is>
      </c>
      <c r="C32" s="7" t="inlineStr">
        <is>
          <t>Security</t>
        </is>
      </c>
      <c r="D32" s="7" t="inlineStr">
        <is>
          <t>Low</t>
        </is>
      </c>
      <c r="E32" s="7" t="inlineStr">
        <is>
          <t>Verified</t>
        </is>
      </c>
      <c r="F32" s="19" t="inlineStr">
        <is>
          <t>http://127.0.0.1:8765/</t>
        </is>
      </c>
      <c r="G32" s="19" t="inlineStr">
        <is>
          <t>Custom HTTP checks</t>
        </is>
      </c>
      <c r="H32" s="19" t="inlineStr">
        <is>
          <t>Implement a Referer Policy (RP) to control how the Referer header is used.</t>
        </is>
      </c>
    </row>
    <row r="33" ht="23.85" customHeight="1">
      <c r="A33" s="7" t="inlineStr">
        <is>
          <t>FIND-029</t>
        </is>
      </c>
      <c r="B33" s="19" t="inlineStr">
        <is>
          <t>If this element contains a navigation section, it is recommended that it be marked up as a list.</t>
        </is>
      </c>
      <c r="C33" s="7" t="inlineStr">
        <is>
          <t>Accessibility</t>
        </is>
      </c>
      <c r="D33" s="7" t="inlineStr">
        <is>
          <t>Low</t>
        </is>
      </c>
      <c r="E33" s="7" t="inlineStr">
        <is>
          <t>Possible</t>
        </is>
      </c>
      <c r="F33" s="19" t="inlineStr">
        <is>
          <t>http://127.0.0.1:8765/</t>
        </is>
      </c>
      <c r="G33" s="19" t="inlineStr">
        <is>
          <t>Pa11y / HTML_CodeSniffer</t>
        </is>
      </c>
      <c r="H33" s="19" t="inlineStr">
        <is>
          <t>Correct the semantic markup or style described by this WCAG rule and verify with Pa11y plus keyboard testing.</t>
        </is>
      </c>
    </row>
    <row r="34" ht="23.85" customHeight="1">
      <c r="A34" s="7" t="inlineStr">
        <is>
          <t>FIND-030</t>
        </is>
      </c>
      <c r="B34" s="19" t="inlineStr">
        <is>
          <t>The heading structure is not logically nested. This h4 element should be an h2 to be properly nested.</t>
        </is>
      </c>
      <c r="C34" s="7" t="inlineStr">
        <is>
          <t>Accessibility</t>
        </is>
      </c>
      <c r="D34" s="7" t="inlineStr">
        <is>
          <t>Low</t>
        </is>
      </c>
      <c r="E34" s="7" t="inlineStr">
        <is>
          <t>Possible</t>
        </is>
      </c>
      <c r="F34" s="19" t="inlineStr">
        <is>
          <t>http://127.0.0.1:8765/about</t>
        </is>
      </c>
      <c r="G34" s="19" t="inlineStr">
        <is>
          <t>Pa11y / HTML_CodeSniffer</t>
        </is>
      </c>
      <c r="H34" s="19" t="inlineStr">
        <is>
          <t>Correct the semantic markup or style described by this WCAG rule and verify with Pa11y plus keyboard testing.</t>
        </is>
      </c>
    </row>
    <row r="35" ht="23.85" customHeight="1">
      <c r="A35" s="7" t="inlineStr">
        <is>
          <t>FIND-031</t>
        </is>
      </c>
      <c r="B35" s="19" t="inlineStr">
        <is>
          <t>Email field does not use type="email"</t>
        </is>
      </c>
      <c r="C35" s="7" t="inlineStr">
        <is>
          <t>Functionality</t>
        </is>
      </c>
      <c r="D35" s="7" t="inlineStr">
        <is>
          <t>Low</t>
        </is>
      </c>
      <c r="E35" s="7" t="inlineStr">
        <is>
          <t>Possible</t>
        </is>
      </c>
      <c r="F35" s="19" t="inlineStr">
        <is>
          <t>http://127.0.0.1:8765/contact</t>
        </is>
      </c>
      <c r="G35" s="19" t="inlineStr">
        <is>
          <t>DOM form inspection</t>
        </is>
      </c>
      <c r="H35" s="19" t="inlineStr">
        <is>
          <t>Use &lt;input type="email" required&gt; and keep server-side validation as the authoritative check.</t>
        </is>
      </c>
    </row>
  </sheetData>
  <autoFilter ref="A4:H35"/>
  <conditionalFormatting sqref="E5:E35">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conditionalFormatting sqref="D5:D35">
    <cfRule type="cellIs" priority="9" operator="equal" dxfId="11">
      <formula>"High"</formula>
    </cfRule>
    <cfRule type="cellIs" priority="10" operator="equal" dxfId="7">
      <formula>"Medium"</formula>
    </cfRule>
    <cfRule type="cellIs" priority="11" operator="equal" dxfId="9">
      <formula>"Low"</formula>
    </cfRule>
  </conditionalFormatting>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fitToPage="1"/>
  </sheetPr>
  <dimension ref="A1:F30"/>
  <sheetViews>
    <sheetView showGridLines="0" zoomScaleNormal="100" workbookViewId="0">
      <selection activeCell="B17" sqref="B17:C17"/>
    </sheetView>
  </sheetViews>
  <sheetFormatPr baseColWidth="8" defaultColWidth="8.7109375" defaultRowHeight="15" outlineLevelCol="0"/>
  <cols>
    <col width="34" customWidth="1" min="1" max="1"/>
    <col width="24" customWidth="1" min="2" max="2"/>
    <col width="22" customWidth="1" min="3" max="3"/>
    <col width="50" customWidth="1" min="4" max="4"/>
    <col width="30" customWidth="1" min="5" max="5"/>
    <col width="16" customWidth="1" min="6" max="6"/>
  </cols>
  <sheetData>
    <row r="1" ht="19.7" customHeight="1">
      <c r="A1" s="3" t="inlineStr">
        <is>
          <t>AI Models and How to Install</t>
        </is>
      </c>
    </row>
    <row r="2">
      <c r="A2" s="4" t="inlineStr">
        <is>
          <t>All AI runs locally with Ollama. No cloud, no external API calls.</t>
        </is>
      </c>
    </row>
    <row r="4">
      <c r="A4" s="20" t="inlineStr">
        <is>
          <t>Model</t>
        </is>
      </c>
      <c r="B4" s="20" t="inlineStr">
        <is>
          <t>Tag</t>
        </is>
      </c>
      <c r="C4" s="20" t="inlineStr">
        <is>
          <t>Size</t>
        </is>
      </c>
      <c r="D4" s="20" t="inlineStr">
        <is>
          <t>Used for</t>
        </is>
      </c>
      <c r="E4" s="20" t="inlineStr">
        <is>
          <t>Speed</t>
        </is>
      </c>
      <c r="F4" s="20" t="inlineStr">
        <is>
          <t>Status</t>
        </is>
      </c>
    </row>
    <row r="5">
      <c r="A5" s="19" t="inlineStr">
        <is>
          <t>Qwen2.5 1.5B Instruct</t>
        </is>
      </c>
      <c r="B5" s="7" t="inlineStr">
        <is>
          <t>qwen2.5:1.5b</t>
        </is>
      </c>
      <c r="C5" s="7" t="inlineStr">
        <is>
          <t>~986 MB</t>
        </is>
      </c>
      <c r="D5" s="19" t="inlineStr">
        <is>
          <t>Page classification, form tests, triage, summaries</t>
        </is>
      </c>
      <c r="E5" s="19" t="inlineStr">
        <is>
          <t>21.4 tok/s (~4.2 s per task)</t>
        </is>
      </c>
      <c r="F5" s="7" t="inlineStr">
        <is>
          <t>In use</t>
        </is>
      </c>
    </row>
    <row r="6">
      <c r="A6" s="19" t="inlineStr">
        <is>
          <t>Qwen2.5-VL 7B Instruct</t>
        </is>
      </c>
      <c r="B6" s="7" t="inlineStr">
        <is>
          <t>qwen2.5vl:7b</t>
        </is>
      </c>
      <c r="C6" s="7" t="inlineStr">
        <is>
          <t>~4.7 GB</t>
        </is>
      </c>
      <c r="D6" s="19" t="inlineStr">
        <is>
          <t>Looks at screenshots (overlap, clutter, touch targets)</t>
        </is>
      </c>
      <c r="E6" s="19" t="inlineStr">
        <is>
          <t>4.8 tok/s (~52 s per screenshot)</t>
        </is>
      </c>
      <c r="F6" s="7" t="inlineStr">
        <is>
          <t>In use</t>
        </is>
      </c>
    </row>
    <row r="7">
      <c r="A7" s="19" t="inlineStr">
        <is>
          <t>Qwen2.5 7B Instruct (Alt)</t>
        </is>
      </c>
      <c r="B7" s="7" t="inlineStr">
        <is>
          <t>qwen2.5:7b</t>
        </is>
      </c>
      <c r="C7" s="7" t="inlineStr">
        <is>
          <t>4.4 GB</t>
        </is>
      </c>
      <c r="D7" s="19" t="inlineStr">
        <is>
          <t>Deeper root-cause analysis (optional)</t>
        </is>
      </c>
      <c r="E7" s="19" t="inlineStr">
        <is>
          <t>5.6 tok/s (~18 s per task)</t>
        </is>
      </c>
      <c r="F7" s="7" t="inlineStr">
        <is>
          <t>Catalogued only</t>
        </is>
      </c>
    </row>
    <row r="8">
      <c r="A8" s="19" t="inlineStr">
        <is>
          <t>DeepSeek-R1 Distill 8B</t>
        </is>
      </c>
      <c r="B8" s="7" t="inlineStr">
        <is>
          <t>deepseek-r1:8b</t>
        </is>
      </c>
      <c r="C8" s="7" t="inlineStr">
        <is>
          <t>4.9 GB</t>
        </is>
      </c>
      <c r="D8" s="19" t="inlineStr">
        <is>
          <t>Multi-step security reasoning (optional)</t>
        </is>
      </c>
      <c r="E8" s="19" t="inlineStr">
        <is>
          <t>4.2 tok/s (~24 s per task)</t>
        </is>
      </c>
      <c r="F8" s="7" t="inlineStr">
        <is>
          <t>Catalogued only</t>
        </is>
      </c>
    </row>
    <row r="10">
      <c r="A10" s="5" t="inlineStr">
        <is>
          <t>Hardware and safety settings</t>
        </is>
      </c>
    </row>
    <row r="11" ht="15" customHeight="1">
      <c r="A11" s="20" t="inlineStr">
        <is>
          <t>Setting</t>
        </is>
      </c>
      <c r="B11" s="20" t="inlineStr">
        <is>
          <t>Value</t>
        </is>
      </c>
      <c r="C11" s="22" t="n"/>
      <c r="D11" s="20" t="inlineStr">
        <is>
          <t>Why</t>
        </is>
      </c>
      <c r="E11" s="21" t="n"/>
      <c r="F11" s="22" t="n"/>
    </row>
    <row r="12" ht="15" customHeight="1">
      <c r="A12" s="19" t="inlineStr">
        <is>
          <t>Parameter / Constraint</t>
        </is>
      </c>
      <c r="B12" s="19" t="inlineStr">
        <is>
          <t>Configuration Value</t>
        </is>
      </c>
      <c r="C12" s="22" t="n"/>
      <c r="D12" s="19" t="inlineStr">
        <is>
          <t>Engineering Rationale &amp; Hardware Protections</t>
        </is>
      </c>
      <c r="E12" s="21" t="n"/>
      <c r="F12" s="22" t="n"/>
    </row>
    <row r="13" ht="23.85" customHeight="1">
      <c r="A13" s="19" t="inlineStr">
        <is>
          <t>Host Platform</t>
        </is>
      </c>
      <c r="B13" s="19" t="inlineStr">
        <is>
          <t>NVIDIA Jetson Orin AGX (Linux 5.15 aarch64, 30GB Unified Memory)</t>
        </is>
      </c>
      <c r="C13" s="22" t="n"/>
      <c r="D13" s="19" t="inlineStr">
        <is>
          <t>Edge AI platform; unified LPDDR5 memory shared between CPU and GPU compute.</t>
        </is>
      </c>
      <c r="E13" s="21" t="n"/>
      <c r="F13" s="22" t="n"/>
    </row>
    <row r="14" ht="23.85" customHeight="1">
      <c r="A14" s="19" t="inlineStr">
        <is>
          <t>Ollama Endpoint</t>
        </is>
      </c>
      <c r="B14" s="19" t="inlineStr">
        <is>
          <t>http://127.0.0.1:11434 (Host-local execution, ARM CPU Neon acceleration)</t>
        </is>
      </c>
      <c r="C14" s="22" t="n"/>
      <c r="D14" s="19" t="inlineStr">
        <is>
          <t>Zero cloud dependencies. Prevents telemetry, external egress, and API token billing.</t>
        </is>
      </c>
      <c r="E14" s="21" t="n"/>
      <c r="F14" s="22" t="n"/>
    </row>
    <row r="15" ht="15" customHeight="1">
      <c r="A15" s="19" t="inlineStr">
        <is>
          <t>OLLAMA_NUM_PARALLEL</t>
        </is>
      </c>
      <c r="B15" s="19" t="inlineStr">
        <is>
          <t>1 (Strict single-request execution queue)</t>
        </is>
      </c>
      <c r="C15" s="22" t="n"/>
      <c r="D15" s="19" t="inlineStr">
        <is>
          <t>Prevents concurrent model thrashing on unified memory; guarantees predictable latency and prevents OOM.</t>
        </is>
      </c>
      <c r="E15" s="21" t="n"/>
      <c r="F15" s="22" t="n"/>
    </row>
    <row r="16" ht="15" customHeight="1">
      <c r="A16" s="19" t="inlineStr">
        <is>
          <t>Observation Buffer Cap</t>
        </is>
      </c>
      <c r="B16" s="19" t="inlineStr">
        <is>
          <t>14,000 characters per scan artifact observation</t>
        </is>
      </c>
      <c r="C16" s="22" t="n"/>
      <c r="D16" s="19" t="inlineStr">
        <is>
          <t>Prevents massive DOM dumps from blowing out model context window and causing token truncation.</t>
        </is>
      </c>
      <c r="E16" s="21" t="n"/>
      <c r="F16" s="22" t="n"/>
    </row>
    <row r="17" ht="15" customHeight="1">
      <c r="A17" s="19" t="inlineStr">
        <is>
          <t>Token Output Cap (num_predict)</t>
        </is>
      </c>
      <c r="B17" s="19" t="inlineStr">
        <is>
          <t>1,024 tokens maximum per reasoning prompt</t>
        </is>
      </c>
      <c r="C17" s="22" t="n"/>
      <c r="D17" s="19" t="inlineStr">
        <is>
          <t>Stops runaway generative loops; keeps LLM synthesis responses concise, structured, and parseable.</t>
        </is>
      </c>
      <c r="E17" s="21" t="n"/>
      <c r="F17" s="22" t="n"/>
    </row>
    <row r="18" ht="15" customHeight="1">
      <c r="A18" s="19" t="inlineStr">
        <is>
          <t>Inference Timeout Settings</t>
        </is>
      </c>
      <c r="B18" s="19" t="inlineStr">
        <is>
          <t>300s socket timeout / 360s client request timeout</t>
        </is>
      </c>
      <c r="C18" s="22" t="n"/>
      <c r="D18" s="19" t="inlineStr">
        <is>
          <t>Accommodates heavy multimodal visual reasoning tasks on Jetson hardware without prematurely failing jobs.</t>
        </is>
      </c>
      <c r="E18" s="21" t="n"/>
      <c r="F18" s="22" t="n"/>
    </row>
    <row r="19" ht="23.85" customHeight="1">
      <c r="A19" s="19" t="inlineStr">
        <is>
          <t>Honest Fallback Policy</t>
        </is>
      </c>
      <c r="B19" s="19" t="inlineStr">
        <is>
          <t>Strict non-fabrication: if JSON parse fails, outputs measured scanner data</t>
        </is>
      </c>
      <c r="C19" s="22" t="n"/>
      <c r="D19" s="19" t="inlineStr">
        <is>
          <t>Upholds 'No Cloud Fallback / Real Tools' philosophy. Never fabricates scores or invented vulnerabilities.</t>
        </is>
      </c>
      <c r="E19" s="21" t="n"/>
      <c r="F19" s="22" t="n"/>
    </row>
    <row r="21">
      <c r="A21" s="5" t="inlineStr">
        <is>
          <t>How to install and run (works on any machine)</t>
        </is>
      </c>
    </row>
    <row r="22" ht="15" customHeight="1">
      <c r="A22" s="20" t="inlineStr">
        <is>
          <t>Step</t>
        </is>
      </c>
      <c r="B22" s="20" t="inlineStr">
        <is>
          <t>Command</t>
        </is>
      </c>
      <c r="C22" s="22" t="n"/>
      <c r="D22" s="20" t="inlineStr">
        <is>
          <t>Notes</t>
        </is>
      </c>
      <c r="E22" s="21" t="n"/>
      <c r="F22" s="22" t="n"/>
    </row>
    <row r="23" ht="15" customHeight="1">
      <c r="A23" s="19" t="inlineStr">
        <is>
          <t>1. Clone/copy project</t>
        </is>
      </c>
      <c r="B23" s="19" t="inlineStr">
        <is>
          <t>copy the ai-universal-website-tester folder</t>
        </is>
      </c>
      <c r="C23" s="22" t="n"/>
      <c r="D23" s="19" t="inlineStr">
        <is>
          <t>Self-contained; no absolute paths required.</t>
        </is>
      </c>
      <c r="E23" s="21" t="n"/>
      <c r="F23" s="22" t="n"/>
    </row>
    <row r="24" ht="23.85" customHeight="1">
      <c r="A24" s="19" t="inlineStr">
        <is>
          <t>2. Python env</t>
        </is>
      </c>
      <c r="B24" s="19" t="inlineStr">
        <is>
          <t>python -m venv .venv &amp;&amp; . .venv/bin/activate &amp;&amp; pip install -r backend/requirements.txt</t>
        </is>
      </c>
      <c r="C24" s="22" t="n"/>
      <c r="D24" s="19" t="inlineStr">
        <is>
          <t>Python 3.11+; installs FastAPI, Playwright, openpyxl, etc.</t>
        </is>
      </c>
      <c r="E24" s="21" t="n"/>
      <c r="F24" s="22" t="n"/>
    </row>
    <row r="25" ht="15" customHeight="1">
      <c r="A25" s="19" t="inlineStr">
        <is>
          <t>3. Browser</t>
        </is>
      </c>
      <c r="B25" s="19" t="inlineStr">
        <is>
          <t>python -m playwright install chromium</t>
        </is>
      </c>
      <c r="C25" s="22" t="n"/>
      <c r="D25" s="19" t="inlineStr">
        <is>
          <t>Bundled Chromium used automatically if present.</t>
        </is>
      </c>
      <c r="E25" s="21" t="n"/>
      <c r="F25" s="22" t="n"/>
    </row>
    <row r="26" ht="23.85" customHeight="1">
      <c r="A26" s="19" t="inlineStr">
        <is>
          <t>4. Local AI (optional)</t>
        </is>
      </c>
      <c r="B26" s="19" t="inlineStr">
        <is>
          <t>install Ollama; ollama pull qwen2.5:1.5b; ollama pull qwen2.5vl:7b</t>
        </is>
      </c>
      <c r="C26" s="22" t="n"/>
      <c r="D26" s="19" t="inlineStr">
        <is>
          <t>AI steps skip honestly if Ollama/models are absent - never fabricated.</t>
        </is>
      </c>
      <c r="E26" s="21" t="n"/>
      <c r="F26" s="22" t="n"/>
    </row>
    <row r="27" ht="23.85" customHeight="1">
      <c r="A27" s="19" t="inlineStr">
        <is>
          <t>5. Node scanners (optional)</t>
        </is>
      </c>
      <c r="B27" s="19" t="inlineStr">
        <is>
          <t>cd tools &amp;&amp; npm ci   ;   cd frontend &amp;&amp; npm install &amp;&amp; npm run build</t>
        </is>
      </c>
      <c r="C27" s="22" t="n"/>
      <c r="D27" s="19" t="inlineStr">
        <is>
          <t>axe-core/Pa11y/Lighthouse + the UI bundle.</t>
        </is>
      </c>
      <c r="E27" s="21" t="n"/>
      <c r="F27" s="22" t="n"/>
    </row>
    <row r="28" ht="23.85" customHeight="1">
      <c r="A28" s="19" t="inlineStr">
        <is>
          <t>6. Optional tools</t>
        </is>
      </c>
      <c r="B28" s="19" t="inlineStr">
        <is>
          <t>install nuclei / zap / k6 / nikto / sqlmap; set UWT_* env flags</t>
        </is>
      </c>
      <c r="C28" s="22" t="n"/>
      <c r="D28" s="19" t="inlineStr">
        <is>
          <t>All optional; each reports 'skipped' if missing (never a false pass).</t>
        </is>
      </c>
      <c r="E28" s="21" t="n"/>
      <c r="F28" s="22" t="n"/>
    </row>
    <row r="29" ht="23.85" customHeight="1">
      <c r="A29" s="19" t="inlineStr">
        <is>
          <t>7. Run backend</t>
        </is>
      </c>
      <c r="B29" s="19" t="inlineStr">
        <is>
          <t>cd backend &amp;&amp; python -m uvicorn app.main:app --host 127.0.0.1 --port 8000</t>
        </is>
      </c>
      <c r="C29" s="22" t="n"/>
      <c r="D29" s="19" t="inlineStr">
        <is>
          <t>Serves API + prebuilt UI at http://127.0.0.1:8000.</t>
        </is>
      </c>
      <c r="E29" s="21" t="n"/>
      <c r="F29" s="22" t="n"/>
    </row>
    <row r="30" ht="23.85" customHeight="1">
      <c r="A30" s="19" t="inlineStr">
        <is>
          <t>8. Configure</t>
        </is>
      </c>
      <c r="B30" s="19" t="inlineStr">
        <is>
          <t>copy .env.example to .env; set UWT_ALLOWLIST and optional UWT_* flags</t>
        </is>
      </c>
      <c r="C30" s="22" t="n"/>
      <c r="D30" s="19" t="inlineStr">
        <is>
          <t>Security/load gated by allowlist + runtime attestation.</t>
        </is>
      </c>
      <c r="E30" s="21" t="n"/>
      <c r="F30" s="22" t="n"/>
    </row>
  </sheetData>
  <mergeCells count="36">
    <mergeCell ref="D13:F13"/>
    <mergeCell ref="B16:C16"/>
    <mergeCell ref="D11:F11"/>
    <mergeCell ref="D27:F27"/>
    <mergeCell ref="B25:C25"/>
    <mergeCell ref="B22:C22"/>
    <mergeCell ref="D17:F17"/>
    <mergeCell ref="B27:C27"/>
    <mergeCell ref="B18:C18"/>
    <mergeCell ref="D16:F16"/>
    <mergeCell ref="B12:C12"/>
    <mergeCell ref="D28:F28"/>
    <mergeCell ref="B11:C11"/>
    <mergeCell ref="D12:F12"/>
    <mergeCell ref="D18:F18"/>
    <mergeCell ref="B23:C23"/>
    <mergeCell ref="B14:C14"/>
    <mergeCell ref="B17:C17"/>
    <mergeCell ref="D30:F30"/>
    <mergeCell ref="D25:F25"/>
    <mergeCell ref="D15:F15"/>
    <mergeCell ref="D24:F24"/>
    <mergeCell ref="B13:C13"/>
    <mergeCell ref="D14:F14"/>
    <mergeCell ref="D29:F29"/>
    <mergeCell ref="B29:C29"/>
    <mergeCell ref="D23:F23"/>
    <mergeCell ref="B19:C19"/>
    <mergeCell ref="B28:C28"/>
    <mergeCell ref="D26:F26"/>
    <mergeCell ref="D19:F19"/>
    <mergeCell ref="B24:C24"/>
    <mergeCell ref="B30:C30"/>
    <mergeCell ref="B15:C15"/>
    <mergeCell ref="D22:F22"/>
    <mergeCell ref="B26:C26"/>
  </mergeCells>
  <conditionalFormatting sqref="F5:F8">
    <cfRule type="cellIs" priority="2" operator="equal" dxfId="8">
      <formula>"In use"</formula>
    </cfRule>
    <cfRule type="cellIs" priority="3" operator="equal" dxfId="7">
      <formula>"Catalogued only"</formula>
    </cfRule>
  </conditionalFormatting>
  <pageMargins left="0.75" right="0.75" top="1" bottom="1" header="0.511811023622047" footer="0.511811023622047"/>
  <pageSetup orientation="landscape" fitToHeight="0" horizontalDpi="300" verticalDpi="300"/>
</worksheet>
</file>

<file path=xl/worksheets/sheet8.xml><?xml version="1.0" encoding="utf-8"?>
<worksheet xmlns="http://schemas.openxmlformats.org/spreadsheetml/2006/main">
  <sheetPr>
    <outlinePr summaryBelow="1" summaryRight="1"/>
    <pageSetUpPr fitToPage="1"/>
  </sheetPr>
  <dimension ref="A1:E10"/>
  <sheetViews>
    <sheetView showGridLines="0" zoomScaleNormal="100" workbookViewId="0">
      <selection activeCell="B5" sqref="B5"/>
    </sheetView>
  </sheetViews>
  <sheetFormatPr baseColWidth="8" defaultColWidth="8.7109375" defaultRowHeight="15" outlineLevelCol="0"/>
  <cols>
    <col width="42" customWidth="1" min="1" max="1"/>
    <col width="55" customWidth="1" min="2" max="2"/>
    <col width="12" customWidth="1" min="3" max="4"/>
    <col width="55" customWidth="1" min="5" max="5"/>
  </cols>
  <sheetData>
    <row r="1" ht="19.7" customHeight="1">
      <c r="A1" s="3" t="inlineStr">
        <is>
          <t>Risks and How They Were Handled</t>
        </is>
      </c>
    </row>
    <row r="4">
      <c r="A4" s="20" t="inlineStr">
        <is>
          <t>Risk</t>
        </is>
      </c>
      <c r="B4" s="20" t="inlineStr">
        <is>
          <t>What we did about it</t>
        </is>
      </c>
      <c r="C4" s="20" t="inlineStr">
        <is>
          <t>Owner</t>
        </is>
      </c>
      <c r="D4" s="20" t="inlineStr">
        <is>
          <t>Status</t>
        </is>
      </c>
      <c r="E4" s="20" t="inlineStr">
        <is>
          <t>Result</t>
        </is>
      </c>
    </row>
    <row r="5" ht="23.85" customHeight="1">
      <c r="A5" s="19" t="inlineStr">
        <is>
          <t>Non-allowlisted target dead-ends security/load</t>
        </is>
      </c>
      <c r="B5" s="19" t="inlineStr">
        <is>
          <t>Runtime per-origin authorization with explicit permission attestation, persisted and auditable</t>
        </is>
      </c>
      <c r="C5" s="7" t="inlineStr">
        <is>
          <t>Aman</t>
        </is>
      </c>
      <c r="D5" s="7" t="inlineStr">
        <is>
          <t>Resolved</t>
        </is>
      </c>
      <c r="E5" s="19" t="inlineStr">
        <is>
          <t>403 without attestation; attested origin authorized then revocable; exact-origin preserved.</t>
        </is>
      </c>
    </row>
    <row r="6" ht="23.85" customHeight="1">
      <c r="A6" s="19" t="inlineStr">
        <is>
          <t>Scanner marked unavailable looks like a failure (ZAP)</t>
        </is>
      </c>
      <c r="B6" s="19" t="inlineStr">
        <is>
          <t>Honest optional status + actionable resolution; ready reflects required tools only</t>
        </is>
      </c>
      <c r="C6" s="7" t="inlineStr">
        <is>
          <t>Aman</t>
        </is>
      </c>
      <c r="D6" s="7" t="inlineStr">
        <is>
          <t>Resolved</t>
        </is>
      </c>
      <c r="E6" s="19" t="inlineStr">
        <is>
          <t>ZAP shows 'Optional' with setup hint; security still runs via Nuclei + built-in checks.</t>
        </is>
      </c>
    </row>
    <row r="7" ht="23.85" customHeight="1">
      <c r="A7" s="19" t="inlineStr">
        <is>
          <t>Active scanners (Nikto/sqlmap) could be intrusive</t>
        </is>
      </c>
      <c r="B7" s="19" t="inlineStr">
        <is>
          <t>Opt-in (disabled by default), detection-only, bounded, proxy-routed, authorization-gated; no destructive options</t>
        </is>
      </c>
      <c r="C7" s="7" t="inlineStr">
        <is>
          <t>Nagendra</t>
        </is>
      </c>
      <c r="D7" s="7" t="inlineStr">
        <is>
          <t>Mitigated</t>
        </is>
      </c>
      <c r="E7" s="19" t="inlineStr">
        <is>
          <t>Defaults off; sqlmap uses BEU/level1/risk1, no --dump/os/file; covered by tests.</t>
        </is>
      </c>
    </row>
    <row r="8" ht="23.85" customHeight="1">
      <c r="A8" s="19" t="inlineStr">
        <is>
          <t>Explicit tool path silently replaced by another binary</t>
        </is>
      </c>
      <c r="B8" s="19" t="inlineStr">
        <is>
          <t>resolve_binary honours explicit config: missing -&gt; skipped, never substituted</t>
        </is>
      </c>
      <c r="C8" s="7" t="inlineStr">
        <is>
          <t>Dibya</t>
        </is>
      </c>
      <c r="D8" s="7" t="inlineStr">
        <is>
          <t>Resolved</t>
        </is>
      </c>
      <c r="E8" s="19" t="inlineStr">
        <is>
          <t>Fixed nuclei.py &amp; browser.py; honest skip/fail; tests green.</t>
        </is>
      </c>
    </row>
    <row r="9" ht="23.85" customHeight="1">
      <c r="A9" s="19" t="inlineStr">
        <is>
          <t>Crawler wandering off-path on deep seeds (#9)</t>
        </is>
      </c>
      <c r="B9" s="19" t="inlineStr">
        <is>
          <t>Directory crawl scoping (_in_scope) + nav retries isolate failed pages</t>
        </is>
      </c>
      <c r="C9" s="7" t="inlineStr">
        <is>
          <t>Dibya</t>
        </is>
      </c>
      <c r="D9" s="7" t="inlineStr">
        <is>
          <t>Resolved</t>
        </is>
      </c>
      <c r="E9" s="19" t="inlineStr">
        <is>
          <t>Practice app 7/7 pages, 0 failed; deep seeds confined to folder.</t>
        </is>
      </c>
    </row>
    <row r="10">
      <c r="A10" s="19" t="inlineStr">
        <is>
          <t>Cloud fallback / privacy</t>
        </is>
      </c>
      <c r="B10" s="19" t="inlineStr">
        <is>
          <t>100% local Ollama at 127.0.0.1:11434; no external LLM calls</t>
        </is>
      </c>
      <c r="C10" s="7" t="inlineStr">
        <is>
          <t>Nagendra</t>
        </is>
      </c>
      <c r="D10" s="7" t="inlineStr">
        <is>
          <t>Resolved</t>
        </is>
      </c>
      <c r="E10" s="19" t="inlineStr">
        <is>
          <t>No telemetry/third-party API calls in logs.</t>
        </is>
      </c>
    </row>
  </sheetData>
  <conditionalFormatting sqref="D5:D10">
    <cfRule type="cellIs" priority="2" operator="equal" dxfId="3">
      <formula>"Done"</formula>
    </cfRule>
    <cfRule type="cellIs" priority="3" operator="equal" dxfId="3">
      <formula>"Pass"</formula>
    </cfRule>
    <cfRule type="cellIs" priority="4" operator="equal" dxfId="3">
      <formula>"Verified"</formula>
    </cfRule>
    <cfRule type="cellIs" priority="5" operator="equal" dxfId="3">
      <formula>"Resolved"</formula>
    </cfRule>
    <cfRule type="cellIs" priority="6" operator="equal" dxfId="0">
      <formula>"Possible"</formula>
    </cfRule>
    <cfRule type="cellIs" priority="7" operator="equal" dxfId="0">
      <formula>"Mitigated"</formula>
    </cfRule>
    <cfRule type="cellIs" priority="8" operator="equal" dxfId="0">
      <formula>"Catalogued only"</formula>
    </cfRule>
  </conditionalFormatting>
  <pageMargins left="0.75" right="0.75" top="1" bottom="1" header="0.511811023622047" footer="0.511811023622047"/>
  <pageSetup orientation="landscape" fitToHeight="0" horizontalDpi="300" verticalDpi="300"/>
</worksheet>
</file>

<file path=xl/worksheets/sheet9.xml><?xml version="1.0" encoding="utf-8"?>
<worksheet xmlns="http://schemas.openxmlformats.org/spreadsheetml/2006/main">
  <sheetPr>
    <outlinePr summaryBelow="1" summaryRight="1"/>
    <pageSetUpPr fitToPage="1"/>
  </sheetPr>
  <dimension ref="A1:B10"/>
  <sheetViews>
    <sheetView showGridLines="0" zoomScaleNormal="100" workbookViewId="0">
      <selection activeCell="B14" sqref="B14"/>
    </sheetView>
  </sheetViews>
  <sheetFormatPr baseColWidth="8" defaultColWidth="8.7109375" defaultRowHeight="15" outlineLevelCol="0"/>
  <cols>
    <col width="28" customWidth="1" min="1" max="1"/>
    <col width="120" customWidth="1" min="2" max="2"/>
  </cols>
  <sheetData>
    <row r="1" ht="19.7" customHeight="1">
      <c r="A1" s="3" t="inlineStr">
        <is>
          <t>Notes: What Was Merged and What Was Left Out</t>
        </is>
      </c>
    </row>
    <row r="3">
      <c r="A3" s="20" t="inlineStr">
        <is>
          <t>Topic</t>
        </is>
      </c>
      <c r="B3" s="20" t="inlineStr">
        <is>
          <t>Explanation</t>
        </is>
      </c>
    </row>
    <row r="4">
      <c r="A4" s="17" t="inlineStr">
        <is>
          <t>Source files</t>
        </is>
      </c>
      <c r="B4" s="19" t="inlineStr">
        <is>
          <t>1) Team_Plan_and_Test_Tracker.xlsx  2) Team_Plan_and_Test_Tracker_FINAL_MERGED.xlsx. This file replaces both.</t>
        </is>
      </c>
    </row>
    <row r="5">
      <c r="A5" s="17" t="inlineStr">
        <is>
          <t>Which numbers are current</t>
        </is>
      </c>
      <c r="B5" s="19" t="inlineStr">
        <is>
          <t>186 tests, 80% coverage (15 of 20 steps), score 58/100, 31 findings, 27 verified. All from the latest Oct 13 run.</t>
        </is>
      </c>
    </row>
    <row r="6">
      <c r="A6" s="17" t="inlineStr">
        <is>
          <t>Older numbers (not current)</t>
        </is>
      </c>
      <c r="B6" s="19" t="inlineStr">
        <is>
          <t>The earlier team-version run showed 146 tests and 88% coverage (15/17 steps). Different run. Do not add to 186.</t>
        </is>
      </c>
    </row>
    <row r="7" ht="23.85" customHeight="1">
      <c r="A7" s="17" t="inlineStr">
        <is>
          <t>Earlier practice findings</t>
        </is>
      </c>
      <c r="B7" s="19" t="inlineStr">
        <is>
          <t>The merged file had a second list of 31 findings with different IDs (e.g. CORS wildcard, debug endpoint). They do not match the latest real scan, so they were left out. Only the latest scan is on the Findings sheet.</t>
        </is>
      </c>
    </row>
    <row r="8" ht="23.85" customHeight="1">
      <c r="A8" s="17" t="inlineStr">
        <is>
          <t>Tasks</t>
        </is>
      </c>
      <c r="B8" s="19" t="inlineStr">
        <is>
          <t>69 tasks in total (23 Aman, 23 Dibya, 23 Nagendra), all marked Done. Balanced equally across safety/backend, frontend/crawling/accessibility, and AI/performance/integration.</t>
        </is>
      </c>
    </row>
    <row r="9">
      <c r="A9" s="17" t="inlineStr">
        <is>
          <t>Duplicates removed</t>
        </is>
      </c>
      <c r="B9" s="19" t="inlineStr">
        <is>
          <t>45 manual checks in total (15 Aman, 15 Dibya, 15 Nagendra), all marked Pass across Linux and Windows validation environments.</t>
        </is>
      </c>
    </row>
    <row r="10" ht="23.85" customHeight="1">
      <c r="A10" s="17" t="inlineStr">
        <is>
          <t>Please double check</t>
        </is>
      </c>
      <c r="B10" s="19" t="inlineStr">
        <is>
          <t>a) Day 5 tasks are dated Oct 14 but marked Done on Oct 13. b) XLSX export is called 8-sheet in some rows and 10-sheet in others. c) Task counts show rows in the workbook; they are not a performance score.</t>
        </is>
      </c>
    </row>
  </sheetData>
  <pageMargins left="0.75" right="0.75" top="1" bottom="1"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2026-10-13T09:18:06Z</dcterms:created>
  <dcterms:modified xmlns:dcterms="http://purl.org/dc/terms/" xmlns:xsi="http://www.w3.org/2001/XMLSchema-instance" xsi:type="dcterms:W3CDTF">2026-10-14T03:36:17Z</dcterms:modified>
  <cp:revision>0</cp:revision>
</cp:coreProperties>
</file>